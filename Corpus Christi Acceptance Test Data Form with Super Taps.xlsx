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ndfos-my.sharepoint.com/personal/113294_grundfos_com/Documents/Desktop/Acceptance Test/"/>
    </mc:Choice>
  </mc:AlternateContent>
  <xr:revisionPtr revIDLastSave="38" documentId="8_{4025D403-BC56-4054-B23C-F0DC339F982A}" xr6:coauthVersionLast="47" xr6:coauthVersionMax="47" xr10:uidLastSave="{2F572D4A-5AFE-43F4-8794-EEA4F989B595}"/>
  <bookViews>
    <workbookView xWindow="-28920" yWindow="-120" windowWidth="29040" windowHeight="15720" tabRatio="478" activeTab="1" xr2:uid="{00000000-000D-0000-FFFF-FFFF00000000}"/>
  </bookViews>
  <sheets>
    <sheet name="Fire Pump Test Data" sheetId="58917" r:id="rId1"/>
    <sheet name="Acceptance Test Curve" sheetId="58916" r:id="rId2"/>
    <sheet name="Field Data Sheet" sheetId="58918" r:id="rId3"/>
    <sheet name="Revison Log" sheetId="58919" r:id="rId4"/>
  </sheets>
  <definedNames>
    <definedName name="_xlnm.Print_Area" localSheetId="1">'Acceptance Test Curve'!$A$1:$V$48</definedName>
    <definedName name="_xlnm.Print_Area" localSheetId="0">'Fire Pump Test Data'!$A$1:$U$67</definedName>
    <definedName name="WEL">'Fire Pump Test Data'!$L$1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58916" l="1"/>
  <c r="Q47" i="58917"/>
  <c r="B13" i="58916"/>
  <c r="B12" i="58916"/>
  <c r="V2" i="58916"/>
  <c r="V3" i="58916"/>
  <c r="B14" i="58916"/>
  <c r="G44" i="58917"/>
  <c r="G45" i="58917"/>
  <c r="G46" i="58917"/>
  <c r="G47" i="58917"/>
  <c r="G43" i="58917"/>
  <c r="G42" i="58917"/>
  <c r="B11" i="58916"/>
  <c r="D11" i="58916"/>
  <c r="E11" i="58916"/>
  <c r="F11" i="58916"/>
  <c r="G11" i="58916"/>
  <c r="H11" i="58916"/>
  <c r="I11" i="58916"/>
  <c r="J11" i="58916"/>
  <c r="D10" i="58916"/>
  <c r="E10" i="58916"/>
  <c r="B10" i="58916"/>
  <c r="F10" i="58916"/>
  <c r="G10" i="58916"/>
  <c r="H10" i="58916"/>
  <c r="I10" i="58916"/>
  <c r="J10" i="58916"/>
  <c r="S47" i="58917"/>
  <c r="P2" i="58916"/>
  <c r="AA2" i="58916" s="1"/>
  <c r="Q14" i="58916"/>
  <c r="S14" i="58916" s="1"/>
  <c r="Q13" i="58916"/>
  <c r="R13" i="58916" s="1"/>
  <c r="Q12" i="58916"/>
  <c r="S12" i="58916" s="1"/>
  <c r="T13" i="58916"/>
  <c r="U13" i="58916"/>
  <c r="T14" i="58916"/>
  <c r="U14" i="58916"/>
  <c r="B2" i="58916"/>
  <c r="B1" i="58916"/>
  <c r="U12" i="58916"/>
  <c r="T12" i="58916"/>
  <c r="U11" i="58916"/>
  <c r="T11" i="58916"/>
  <c r="Q11" i="58916"/>
  <c r="N11" i="58916"/>
  <c r="M11" i="58916"/>
  <c r="S2" i="58916"/>
  <c r="B9" i="58916"/>
  <c r="D9" i="58916"/>
  <c r="E9" i="58916"/>
  <c r="F9" i="58916"/>
  <c r="G9" i="58916"/>
  <c r="H9" i="58916"/>
  <c r="I9" i="58916"/>
  <c r="J9" i="58916"/>
  <c r="U10" i="58916"/>
  <c r="T10" i="58916"/>
  <c r="U9" i="58916"/>
  <c r="T9" i="58916"/>
  <c r="N10" i="58916"/>
  <c r="N9" i="58916"/>
  <c r="M10" i="58916"/>
  <c r="M9" i="58916"/>
  <c r="Q10" i="58916"/>
  <c r="Q9" i="58916"/>
  <c r="Q3" i="58916"/>
  <c r="M3" i="58916"/>
  <c r="H3" i="58916"/>
  <c r="H2" i="58916"/>
  <c r="M2" i="58916"/>
  <c r="Z4" i="58916" s="1"/>
  <c r="R9" i="58916" l="1"/>
  <c r="R12" i="58916"/>
  <c r="R14" i="58916"/>
  <c r="L11" i="58916"/>
  <c r="R11" i="58916" s="1"/>
  <c r="L10" i="58916"/>
  <c r="R10" i="58916" s="1"/>
  <c r="O9" i="58916"/>
  <c r="P9" i="58916" s="1"/>
  <c r="S9" i="58916" s="1"/>
  <c r="AA3" i="58916"/>
  <c r="Z3" i="58916"/>
  <c r="S13" i="58916"/>
  <c r="Q46" i="58917" l="1"/>
  <c r="S46" i="58917" s="1"/>
  <c r="Q45" i="58917"/>
  <c r="S45" i="58917" s="1"/>
  <c r="O11" i="58916"/>
  <c r="P11" i="58916" s="1"/>
  <c r="S11" i="58916" s="1"/>
  <c r="Q44" i="58917"/>
  <c r="S44" i="58917" s="1"/>
  <c r="O10" i="58916"/>
  <c r="P10" i="58916" s="1"/>
  <c r="S10" i="58916" s="1"/>
  <c r="Q43" i="58917"/>
  <c r="S43" i="58917" s="1"/>
  <c r="P12" i="58916"/>
  <c r="O13" i="58916"/>
  <c r="P13" i="58916" l="1"/>
  <c r="P14" i="589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Daryl Fincher</author>
  </authors>
  <commentList>
    <comment ref="H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Pump ID: </t>
        </r>
        <r>
          <rPr>
            <sz val="8"/>
            <color indexed="81"/>
            <rFont val="Tahoma"/>
            <family val="2"/>
          </rPr>
          <t>Insert name or number of pump for identification purposes.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Rated Flow:</t>
        </r>
        <r>
          <rPr>
            <sz val="8"/>
            <color indexed="81"/>
            <rFont val="Tahoma"/>
            <family val="2"/>
          </rPr>
          <t xml:space="preserve">  100% Design Flow Rating.
</t>
        </r>
      </text>
    </comment>
    <comment ref="P2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 xml:space="preserve">Rated Pressure: </t>
        </r>
        <r>
          <rPr>
            <sz val="8"/>
            <color indexed="81"/>
            <rFont val="Tahoma"/>
            <family val="2"/>
          </rPr>
          <t xml:space="preserve">Pressure Rating at </t>
        </r>
        <r>
          <rPr>
            <sz val="8"/>
            <color indexed="81"/>
            <rFont val="Tahoma"/>
            <family val="2"/>
          </rPr>
          <t>100% Design Flow.</t>
        </r>
      </text>
    </comment>
    <comment ref="S2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Rated Speed: </t>
        </r>
        <r>
          <rPr>
            <sz val="8"/>
            <color indexed="81"/>
            <rFont val="Tahoma"/>
            <family val="2"/>
          </rPr>
          <t>Pump Speed Rating at 100% Design Flow and 100% Design Pressure.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2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 xml:space="preserve">Suction Size: </t>
        </r>
        <r>
          <rPr>
            <sz val="8"/>
            <color indexed="81"/>
            <rFont val="Tahoma"/>
            <family val="2"/>
          </rPr>
          <t>Diameter of pump suction inlet flange.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3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 xml:space="preserve">Discharge Size: </t>
        </r>
        <r>
          <rPr>
            <sz val="8"/>
            <color indexed="81"/>
            <rFont val="Tahoma"/>
            <family val="2"/>
          </rPr>
          <t>Diameter of pump discharge outlet flange.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 xml:space="preserve">Suction Source:  </t>
        </r>
        <r>
          <rPr>
            <sz val="8"/>
            <color indexed="81"/>
            <rFont val="Tahoma"/>
            <family val="2"/>
          </rPr>
          <t>Indicate where pump suction is from and related size. (i.e. 250,000 gal. suction tank, 12" PWM in Gilman St., etc.)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8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Test Date:</t>
        </r>
        <r>
          <rPr>
            <sz val="8"/>
            <color indexed="81"/>
            <rFont val="Tahoma"/>
            <family val="2"/>
          </rPr>
          <t xml:space="preserve"> Date of test . (i.e. 9/12/98 Test)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 xml:space="preserve">Name: </t>
        </r>
        <r>
          <rPr>
            <sz val="8"/>
            <color indexed="81"/>
            <rFont val="Tahoma"/>
            <family val="2"/>
          </rPr>
          <t>Name of Loss Prevention Consultant.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 xml:space="preserve">Flowing Outlet: </t>
        </r>
        <r>
          <rPr>
            <sz val="8"/>
            <color indexed="81"/>
            <rFont val="Tahoma"/>
            <family val="2"/>
          </rPr>
          <t>The automatic conversion of pitot readings will only work with 1.125", 1.75" or 2.5" outlets.  Any other sizes will need to be manually converted and entered under the Flowmeter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9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 xml:space="preserve">Volts: </t>
        </r>
        <r>
          <rPr>
            <sz val="8"/>
            <color indexed="81"/>
            <rFont val="Tahoma"/>
            <family val="2"/>
          </rPr>
          <t>Actual voltage rating for each motor phase on electric motor driven pumps.  Usually only recorded at initial acceptance test.  (i.e. 435, 440,437)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9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 xml:space="preserve">Amps: </t>
        </r>
        <r>
          <rPr>
            <sz val="8"/>
            <color indexed="81"/>
            <rFont val="Tahoma"/>
            <family val="2"/>
          </rPr>
          <t xml:space="preserve">Actual amperage reading for each motor phase on electric motor driven pumps.  Usually only recorded at initial acceptance test.  </t>
        </r>
      </text>
    </comment>
    <comment ref="B10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 xml:space="preserve">Flowing Outlet: </t>
        </r>
        <r>
          <rPr>
            <sz val="8"/>
            <color indexed="81"/>
            <rFont val="Tahoma"/>
            <family val="2"/>
          </rPr>
          <t>The automatic conversion of pitot readings will only work with 1.125", 1.75" or 2.5" outlets.  Any other sizes will need to be manually converted and entered under the Flowmeter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 xml:space="preserve">Volts: </t>
        </r>
        <r>
          <rPr>
            <sz val="8"/>
            <color indexed="81"/>
            <rFont val="Tahoma"/>
            <family val="2"/>
          </rPr>
          <t>Actual voltage rating for each motor phase on electric motor driven pumps.  Usually only recorded at initial acceptance test.  (i.e. 435, 440,437)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10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 xml:space="preserve">Amps: </t>
        </r>
        <r>
          <rPr>
            <sz val="8"/>
            <color indexed="81"/>
            <rFont val="Tahoma"/>
            <family val="2"/>
          </rPr>
          <t xml:space="preserve">Actual amperage reading for each motor phase on electric motor driven pumps.  Usually only recorded at initial acceptance test.  </t>
        </r>
      </text>
    </comment>
    <comment ref="B11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 xml:space="preserve">Flowing Outlet: </t>
        </r>
        <r>
          <rPr>
            <sz val="8"/>
            <color indexed="81"/>
            <rFont val="Tahoma"/>
            <family val="2"/>
          </rPr>
          <t>The automatic conversion of pitot readings will only work with 1.125", 1.75" or 2.5" outlets.  Any other sizes will need to be manually converted and entered under the Flowmeter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1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 xml:space="preserve">Volts: </t>
        </r>
        <r>
          <rPr>
            <sz val="8"/>
            <color indexed="81"/>
            <rFont val="Tahoma"/>
            <family val="2"/>
          </rPr>
          <t>Actual voltage rating for each motor phase on electric motor driven pumps.  Usually only recorded at initial acceptance test.  (i.e. 435, 440,437)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11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 xml:space="preserve">Amps: </t>
        </r>
        <r>
          <rPr>
            <sz val="8"/>
            <color indexed="81"/>
            <rFont val="Tahoma"/>
            <family val="2"/>
          </rPr>
          <t xml:space="preserve">Actual amperage reading for each motor phase on electric motor driven pumps.  Usually only recorded at initial acceptance test.  </t>
        </r>
      </text>
    </comment>
    <comment ref="B12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 xml:space="preserve">Flowing Outlet: </t>
        </r>
        <r>
          <rPr>
            <sz val="8"/>
            <color indexed="81"/>
            <rFont val="Tahoma"/>
            <family val="2"/>
          </rPr>
          <t>The automatic conversion of pitot readings will only work with 1.125", 1.75" or 2.5" outlets.  Any other sizes will need to be manually converted and entered under the Flowmeter column.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2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 xml:space="preserve">Volts: </t>
        </r>
        <r>
          <rPr>
            <sz val="8"/>
            <color indexed="81"/>
            <rFont val="Tahoma"/>
            <family val="2"/>
          </rPr>
          <t>Actual voltage rating for each motor phase on electric motor driven pumps.  Usually only recorded at initial acceptance test.  (i.e. 435, 440,437)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12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 xml:space="preserve">Amps: </t>
        </r>
        <r>
          <rPr>
            <sz val="8"/>
            <color indexed="81"/>
            <rFont val="Tahoma"/>
            <family val="2"/>
          </rPr>
          <t xml:space="preserve">Actual amperage reading for each motor phase on electric motor driven pumps.  Usually only recorded at initial acceptance test.  </t>
        </r>
      </text>
    </comment>
    <comment ref="A15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Test Date:</t>
        </r>
        <r>
          <rPr>
            <sz val="8"/>
            <color indexed="81"/>
            <rFont val="Tahoma"/>
            <family val="2"/>
          </rPr>
          <t xml:space="preserve"> Date of test . (i.e. 9/12/98 Test)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<sst xmlns="http://schemas.openxmlformats.org/spreadsheetml/2006/main" count="265" uniqueCount="210">
  <si>
    <t>www.PeerlessPump.com</t>
  </si>
  <si>
    <t>Project Name:</t>
  </si>
  <si>
    <t>Address:</t>
  </si>
  <si>
    <t>Project Description</t>
  </si>
  <si>
    <t>Serial No.</t>
  </si>
  <si>
    <t>City - State - Zip</t>
  </si>
  <si>
    <t>Start-up Date:</t>
  </si>
  <si>
    <t>Fire Pump Flow Test Data</t>
  </si>
  <si>
    <t>1.</t>
  </si>
  <si>
    <t>Pump / Driver / Controller</t>
  </si>
  <si>
    <t>General Contractor</t>
  </si>
  <si>
    <t>Peerless Rep.</t>
  </si>
  <si>
    <t>ph.</t>
  </si>
  <si>
    <t>Insurance / Fire Department Rep.</t>
  </si>
  <si>
    <t>Jockey Pump Start PSI</t>
  </si>
  <si>
    <t>Auto Start</t>
  </si>
  <si>
    <t>Jockey Pump Stop PSI</t>
  </si>
  <si>
    <t>Sprinkler Contractor</t>
  </si>
  <si>
    <t>Fire Pump Start PSI</t>
  </si>
  <si>
    <t>Timer Setting</t>
  </si>
  <si>
    <t>Fire Pump Stop PSI</t>
  </si>
  <si>
    <t>Transfer Switch</t>
  </si>
  <si>
    <t xml:space="preserve"> </t>
  </si>
  <si>
    <t>Engineering Firm Rep.</t>
  </si>
  <si>
    <t>Automatic Operator Work</t>
  </si>
  <si>
    <t>Suction Size</t>
  </si>
  <si>
    <t>Manual Operator Work</t>
  </si>
  <si>
    <t>Discharge Size</t>
  </si>
  <si>
    <t xml:space="preserve">        PUMP</t>
  </si>
  <si>
    <t>DRIVER</t>
  </si>
  <si>
    <t xml:space="preserve">     CONTROLLER</t>
  </si>
  <si>
    <t>Pump Type</t>
  </si>
  <si>
    <t>Driver Type</t>
  </si>
  <si>
    <t>Controller Type</t>
  </si>
  <si>
    <t>Pump Manufacturer</t>
  </si>
  <si>
    <t>Driver Manufacturer</t>
  </si>
  <si>
    <t>Controller Manufacturer</t>
  </si>
  <si>
    <t>Pump Serial Number</t>
  </si>
  <si>
    <t>Driver Serial Number</t>
  </si>
  <si>
    <t>Controller Serial Number</t>
  </si>
  <si>
    <t>Pump Model Number</t>
  </si>
  <si>
    <t>Driver Model Number</t>
  </si>
  <si>
    <t>Controller Model Number</t>
  </si>
  <si>
    <t>Pump Rated GPM</t>
  </si>
  <si>
    <t>Driver Horse Power</t>
  </si>
  <si>
    <t>Controller Horse Power</t>
  </si>
  <si>
    <t>Pump Rated PSI</t>
  </si>
  <si>
    <t>Driver RPM</t>
  </si>
  <si>
    <t>Controller Volts</t>
  </si>
  <si>
    <t>Pump Rated RPM</t>
  </si>
  <si>
    <t>Driver Volts</t>
  </si>
  <si>
    <t>Controller Phase</t>
  </si>
  <si>
    <t>Pump Maximum PSI</t>
  </si>
  <si>
    <t>Driver Amps</t>
  </si>
  <si>
    <t>Controller Cycles</t>
  </si>
  <si>
    <t>Pump Pressure at 150%</t>
  </si>
  <si>
    <t>Driver Phase</t>
  </si>
  <si>
    <t>Controller Interrupt Cap</t>
  </si>
  <si>
    <t>Pump Impeller Size</t>
  </si>
  <si>
    <t>Driver Cycles</t>
  </si>
  <si>
    <t>Controller Diesel Volts</t>
  </si>
  <si>
    <t>Pump Stages</t>
  </si>
  <si>
    <t>Driver Service Factor</t>
  </si>
  <si>
    <t>Controller Diesel Ground</t>
  </si>
  <si>
    <t>FIRE PUMP TEST DATA</t>
  </si>
  <si>
    <t xml:space="preserve">    Speed </t>
  </si>
  <si>
    <t xml:space="preserve">    Suction </t>
  </si>
  <si>
    <t xml:space="preserve">  Discharge</t>
  </si>
  <si>
    <t xml:space="preserve">      Net</t>
  </si>
  <si>
    <t>Streams</t>
  </si>
  <si>
    <t>Total</t>
  </si>
  <si>
    <t xml:space="preserve"> %</t>
  </si>
  <si>
    <t>Volts</t>
  </si>
  <si>
    <t>Amps</t>
  </si>
  <si>
    <t xml:space="preserve">     Rpm</t>
  </si>
  <si>
    <t xml:space="preserve">   Pressure</t>
  </si>
  <si>
    <t xml:space="preserve">  Pressure</t>
  </si>
  <si>
    <t xml:space="preserve">    Head</t>
  </si>
  <si>
    <t>Size</t>
  </si>
  <si>
    <t xml:space="preserve">          Pitot Readings</t>
  </si>
  <si>
    <t>GPM</t>
  </si>
  <si>
    <t xml:space="preserve">Rated </t>
  </si>
  <si>
    <t xml:space="preserve">       Psi</t>
  </si>
  <si>
    <t xml:space="preserve">      Psi</t>
  </si>
  <si>
    <t>#1</t>
  </si>
  <si>
    <t>#2</t>
  </si>
  <si>
    <t>#3</t>
  </si>
  <si>
    <t>#4</t>
  </si>
  <si>
    <t>#5</t>
  </si>
  <si>
    <t>#6</t>
  </si>
  <si>
    <t>#7</t>
  </si>
  <si>
    <t>Capacity</t>
  </si>
  <si>
    <t>CHURN</t>
  </si>
  <si>
    <t>Readings Marked (+) in Shaded Column are Heads Above Atmosphere. Those Marked (-) are Lifts. For Vertical Shaft Pumps omit Suction Pressure and Net Head Readings.</t>
  </si>
  <si>
    <t>Approval Signatures</t>
  </si>
  <si>
    <t>Name</t>
  </si>
  <si>
    <t>Signature</t>
  </si>
  <si>
    <t>Date</t>
  </si>
  <si>
    <t>Peerless Pump Rep.</t>
  </si>
  <si>
    <t>Insurance / Fire Dept. Rep.</t>
  </si>
  <si>
    <t>Project:</t>
  </si>
  <si>
    <t>FIRE PUMP TEST RESULTS ON NET BASIS</t>
  </si>
  <si>
    <t>gpm</t>
  </si>
  <si>
    <t>psi</t>
  </si>
  <si>
    <t>Location:</t>
  </si>
  <si>
    <t>Pump ID:</t>
  </si>
  <si>
    <t>Rated Flow:</t>
  </si>
  <si>
    <t>Rated Pressure:</t>
  </si>
  <si>
    <t>Rated Speed:</t>
  </si>
  <si>
    <t>Suction Size(in.):</t>
  </si>
  <si>
    <t>Churn Rating</t>
  </si>
  <si>
    <t>Make:</t>
  </si>
  <si>
    <t>Model:</t>
  </si>
  <si>
    <t>Serial No.:</t>
  </si>
  <si>
    <t>Discharge Size(in.):</t>
  </si>
  <si>
    <t>100% Rating</t>
  </si>
  <si>
    <t>150% Rating</t>
  </si>
  <si>
    <t>Pump</t>
  </si>
  <si>
    <t>Flowing</t>
  </si>
  <si>
    <t>Flow-</t>
  </si>
  <si>
    <t>Combined</t>
  </si>
  <si>
    <t>Pressure</t>
  </si>
  <si>
    <t>Vel.</t>
  </si>
  <si>
    <t>Net</t>
  </si>
  <si>
    <t>Corr. to Rated Speed</t>
  </si>
  <si>
    <t xml:space="preserve">Test </t>
  </si>
  <si>
    <t>Outlet I.D.*</t>
  </si>
  <si>
    <t>Cd*</t>
  </si>
  <si>
    <t>meter</t>
  </si>
  <si>
    <t>Flow</t>
  </si>
  <si>
    <t>Suction</t>
  </si>
  <si>
    <t>Discharge</t>
  </si>
  <si>
    <t>Head</t>
  </si>
  <si>
    <t>Speed</t>
  </si>
  <si>
    <t>(i.e.1 1/8"=1.125")</t>
  </si>
  <si>
    <t>Pitot Readings* - (psi)</t>
  </si>
  <si>
    <t>(gpm)</t>
  </si>
  <si>
    <t>(psi)</t>
  </si>
  <si>
    <t>Corr.</t>
  </si>
  <si>
    <t>(rpm)</t>
  </si>
  <si>
    <t>(v)</t>
  </si>
  <si>
    <t>(A)</t>
  </si>
  <si>
    <t>*NOTE: Flowing Outlet I.D. must be 1.125", 1.75" or 2.5".  The conversion of pitot readings to a flowrate is automatic based on Cd of Underwriter's Playpipes for 1.125" &amp; 1.75" or a Cd of smooth, rounded 2.5" outlet.</t>
  </si>
  <si>
    <t>Dia</t>
  </si>
  <si>
    <t>Pitot Pressure</t>
  </si>
  <si>
    <t>Jockey Pump Start:</t>
  </si>
  <si>
    <t>Jockey Pump Stop:</t>
  </si>
  <si>
    <t>Fire Pump Stop:</t>
  </si>
  <si>
    <t>NOTES:</t>
  </si>
  <si>
    <t>Revision Number</t>
  </si>
  <si>
    <t>Changes</t>
  </si>
  <si>
    <t>Changed formual references to named values.</t>
  </si>
  <si>
    <t>Added additional data fields.</t>
  </si>
  <si>
    <t>2.0</t>
  </si>
  <si>
    <t>Removed all that stuff.</t>
  </si>
  <si>
    <t>Michael Phears</t>
  </si>
  <si>
    <t>281-772-6451</t>
  </si>
  <si>
    <t>%</t>
  </si>
  <si>
    <t>Pito PSI</t>
  </si>
  <si>
    <t>TDH</t>
  </si>
  <si>
    <t>Churn</t>
  </si>
  <si>
    <t>Engine</t>
  </si>
  <si>
    <t>Full Load</t>
  </si>
  <si>
    <t>RPM</t>
  </si>
  <si>
    <t>Oil Press</t>
  </si>
  <si>
    <t>Temp</t>
  </si>
  <si>
    <t>Final Hour</t>
  </si>
  <si>
    <t>Start</t>
  </si>
  <si>
    <t>Stop</t>
  </si>
  <si>
    <t>Bearing</t>
  </si>
  <si>
    <t>Indoard</t>
  </si>
  <si>
    <t>Outboard</t>
  </si>
  <si>
    <t>Manual</t>
  </si>
  <si>
    <t>Auto</t>
  </si>
  <si>
    <t>Starts</t>
  </si>
  <si>
    <t>Damper T</t>
  </si>
  <si>
    <t>2005 Dr. Martin Luther King Jr. Dr.</t>
  </si>
  <si>
    <t>Indianapolis, IN 46202</t>
  </si>
  <si>
    <t>(317) 925-9661</t>
  </si>
  <si>
    <t>Driver Rep.</t>
  </si>
  <si>
    <t>Controller Rep.</t>
  </si>
  <si>
    <t>2.50</t>
  </si>
  <si>
    <t>Home Depot 0526 Corpus Christi TX</t>
  </si>
  <si>
    <t>Electric Splt Case</t>
  </si>
  <si>
    <t>Corpus Christi, Texas 78411</t>
  </si>
  <si>
    <t xml:space="preserve">5041 S Padre Island Dr </t>
  </si>
  <si>
    <t>Split Case</t>
  </si>
  <si>
    <t>Peerless</t>
  </si>
  <si>
    <t>6AEF10</t>
  </si>
  <si>
    <t>1</t>
  </si>
  <si>
    <t>Electric</t>
  </si>
  <si>
    <t>Weg</t>
  </si>
  <si>
    <t>Firetrol</t>
  </si>
  <si>
    <t>FZ1258856</t>
  </si>
  <si>
    <t>125360P3EFP404TS-W40</t>
  </si>
  <si>
    <t>230/460</t>
  </si>
  <si>
    <t>274/137</t>
  </si>
  <si>
    <t>FTA1930-AM125B</t>
  </si>
  <si>
    <t>n/a</t>
  </si>
  <si>
    <t>3@5</t>
  </si>
  <si>
    <t>3@11</t>
  </si>
  <si>
    <t>4@6.14</t>
  </si>
  <si>
    <t>0r 2248</t>
  </si>
  <si>
    <t>yes</t>
  </si>
  <si>
    <t>Manual Start</t>
  </si>
  <si>
    <t>Corpus Fire Dept</t>
  </si>
  <si>
    <t>Brian Rogers</t>
  </si>
  <si>
    <t>361-739-3545</t>
  </si>
  <si>
    <t>Western States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</si>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</sst>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/dd/yy"/>
    <numFmt numFmtId="165" formatCode="0.0"/>
    <numFmt numFmtId="166" formatCode="0.000"/>
    <numFmt numFmtId="167" formatCode="[&lt;=9999999]###\-####;\(###\)\ ###\-####"/>
    <numFmt numFmtId="168" formatCode="m/d/yy"/>
  </numFmts>
  <fonts count="29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18"/>
      <name val="Arial"/>
      <family val="2"/>
    </font>
    <font>
      <b/>
      <u/>
      <sz val="14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6"/>
      <name val="Arial"/>
      <family val="2"/>
    </font>
    <font>
      <sz val="12"/>
      <name val="Broadway"/>
      <family val="5"/>
    </font>
    <font>
      <sz val="12"/>
      <name val="Arial"/>
      <family val="2"/>
    </font>
    <font>
      <sz val="12"/>
      <name val="Arial Rounded MT Bold"/>
      <family val="2"/>
    </font>
    <font>
      <sz val="12"/>
      <name val="Arial CE"/>
      <family val="2"/>
      <charset val="238"/>
    </font>
    <font>
      <sz val="12"/>
      <name val="Britannic Bold"/>
      <family val="2"/>
    </font>
    <font>
      <b/>
      <i/>
      <sz val="12"/>
      <name val="Arial"/>
      <family val="2"/>
    </font>
    <font>
      <b/>
      <i/>
      <sz val="12"/>
      <color indexed="10"/>
      <name val="Arial"/>
      <family val="2"/>
    </font>
    <font>
      <sz val="12"/>
      <color indexed="8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color indexed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darkUp">
        <bgColor indexed="44"/>
      </patternFill>
    </fill>
    <fill>
      <patternFill patternType="solid">
        <fgColor indexed="51"/>
        <bgColor indexed="64"/>
      </patternFill>
    </fill>
    <fill>
      <patternFill patternType="lightUp">
        <b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darkUp">
        <fgColor indexed="8"/>
        <bgColor indexed="44"/>
      </patternFill>
    </fill>
  </fills>
  <borders count="7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26" fillId="0" borderId="0" applyFont="0" applyFill="0" applyBorder="0" applyAlignment="0" applyProtection="0"/>
  </cellStyleXfs>
  <cellXfs count="37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12" fillId="0" borderId="0" xfId="0" applyFont="1" applyAlignment="1">
      <alignment horizontal="centerContinuous"/>
    </xf>
    <xf numFmtId="0" fontId="2" fillId="2" borderId="2" xfId="0" applyFont="1" applyFill="1" applyBorder="1"/>
    <xf numFmtId="0" fontId="8" fillId="2" borderId="3" xfId="0" applyFont="1" applyFill="1" applyBorder="1" applyAlignment="1">
      <alignment horizontal="right"/>
    </xf>
    <xf numFmtId="0" fontId="2" fillId="2" borderId="4" xfId="0" applyFont="1" applyFill="1" applyBorder="1"/>
    <xf numFmtId="9" fontId="0" fillId="0" borderId="0" xfId="0" applyNumberFormat="1"/>
    <xf numFmtId="0" fontId="8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8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Continuous"/>
    </xf>
    <xf numFmtId="0" fontId="8" fillId="2" borderId="7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Continuous"/>
    </xf>
    <xf numFmtId="0" fontId="8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0" borderId="13" xfId="0" quotePrefix="1" applyFont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6" fillId="0" borderId="3" xfId="0" applyFont="1" applyBorder="1" applyAlignment="1" applyProtection="1">
      <alignment horizontal="center"/>
      <protection locked="0"/>
    </xf>
    <xf numFmtId="3" fontId="6" fillId="0" borderId="3" xfId="0" applyNumberFormat="1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3" fontId="6" fillId="0" borderId="15" xfId="0" applyNumberFormat="1" applyFont="1" applyBorder="1" applyAlignment="1" applyProtection="1">
      <alignment horizontal="center"/>
      <protection locked="0"/>
    </xf>
    <xf numFmtId="0" fontId="8" fillId="2" borderId="4" xfId="0" applyFont="1" applyFill="1" applyBorder="1" applyAlignment="1">
      <alignment horizontal="right"/>
    </xf>
    <xf numFmtId="0" fontId="6" fillId="0" borderId="4" xfId="0" applyFont="1" applyBorder="1" applyAlignment="1" applyProtection="1">
      <alignment horizontal="center"/>
      <protection locked="0"/>
    </xf>
    <xf numFmtId="0" fontId="2" fillId="3" borderId="16" xfId="0" applyFont="1" applyFill="1" applyBorder="1"/>
    <xf numFmtId="0" fontId="6" fillId="3" borderId="17" xfId="0" applyFont="1" applyFill="1" applyBorder="1"/>
    <xf numFmtId="0" fontId="8" fillId="3" borderId="17" xfId="0" applyFont="1" applyFill="1" applyBorder="1" applyAlignment="1">
      <alignment horizontal="right"/>
    </xf>
    <xf numFmtId="0" fontId="0" fillId="3" borderId="17" xfId="0" applyFill="1" applyBorder="1" applyAlignment="1" applyProtection="1">
      <alignment horizontal="center"/>
      <protection locked="0"/>
    </xf>
    <xf numFmtId="0" fontId="0" fillId="3" borderId="17" xfId="0" applyFill="1" applyBorder="1" applyProtection="1">
      <protection locked="0"/>
    </xf>
    <xf numFmtId="0" fontId="0" fillId="3" borderId="17" xfId="0" applyFill="1" applyBorder="1" applyAlignment="1">
      <alignment horizontal="right"/>
    </xf>
    <xf numFmtId="0" fontId="7" fillId="3" borderId="18" xfId="0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20" xfId="0" applyBorder="1"/>
    <xf numFmtId="49" fontId="0" fillId="0" borderId="2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15" xfId="0" applyBorder="1"/>
    <xf numFmtId="0" fontId="0" fillId="0" borderId="21" xfId="0" applyBorder="1"/>
    <xf numFmtId="0" fontId="0" fillId="0" borderId="23" xfId="0" applyBorder="1"/>
    <xf numFmtId="49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49" fontId="0" fillId="0" borderId="27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49" fontId="0" fillId="0" borderId="0" xfId="0" applyNumberFormat="1" applyAlignment="1">
      <alignment horizontal="center"/>
    </xf>
    <xf numFmtId="0" fontId="0" fillId="0" borderId="17" xfId="0" applyBorder="1"/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0" fillId="0" borderId="19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2" xfId="0" applyBorder="1"/>
    <xf numFmtId="0" fontId="0" fillId="0" borderId="34" xfId="0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5" xfId="0" applyFill="1" applyBorder="1" applyAlignment="1">
      <alignment horizontal="left"/>
    </xf>
    <xf numFmtId="0" fontId="0" fillId="5" borderId="37" xfId="0" applyFill="1" applyBorder="1" applyAlignment="1">
      <alignment horizontal="left"/>
    </xf>
    <xf numFmtId="3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 applyProtection="1">
      <alignment horizontal="center"/>
      <protection locked="0"/>
    </xf>
    <xf numFmtId="165" fontId="6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39" xfId="0" applyFill="1" applyBorder="1" applyAlignment="1">
      <alignment horizontal="left"/>
    </xf>
    <xf numFmtId="3" fontId="6" fillId="0" borderId="40" xfId="0" applyNumberFormat="1" applyFont="1" applyBorder="1" applyAlignment="1" applyProtection="1">
      <alignment horizontal="center"/>
      <protection locked="0"/>
    </xf>
    <xf numFmtId="3" fontId="6" fillId="0" borderId="40" xfId="0" applyNumberFormat="1" applyFont="1" applyBorder="1" applyAlignment="1">
      <alignment horizontal="center"/>
    </xf>
    <xf numFmtId="0" fontId="6" fillId="0" borderId="40" xfId="0" applyFont="1" applyBorder="1" applyAlignment="1" applyProtection="1">
      <alignment horizontal="center"/>
      <protection locked="0"/>
    </xf>
    <xf numFmtId="165" fontId="6" fillId="0" borderId="40" xfId="0" applyNumberFormat="1" applyFont="1" applyBorder="1" applyAlignment="1">
      <alignment horizontal="center"/>
    </xf>
    <xf numFmtId="1" fontId="6" fillId="0" borderId="40" xfId="0" applyNumberFormat="1" applyFont="1" applyBorder="1" applyAlignment="1">
      <alignment horizontal="center"/>
    </xf>
    <xf numFmtId="3" fontId="6" fillId="0" borderId="28" xfId="0" applyNumberFormat="1" applyFont="1" applyBorder="1" applyAlignment="1" applyProtection="1">
      <alignment horizontal="center"/>
      <protection locked="0"/>
    </xf>
    <xf numFmtId="3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 applyProtection="1">
      <alignment horizontal="center"/>
      <protection locked="0"/>
    </xf>
    <xf numFmtId="165" fontId="6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166" fontId="6" fillId="0" borderId="41" xfId="0" applyNumberFormat="1" applyFont="1" applyBorder="1" applyAlignment="1" applyProtection="1">
      <alignment horizontal="center"/>
      <protection locked="0"/>
    </xf>
    <xf numFmtId="166" fontId="6" fillId="0" borderId="42" xfId="0" applyNumberFormat="1" applyFont="1" applyBorder="1" applyAlignment="1" applyProtection="1">
      <alignment horizontal="center"/>
      <protection locked="0"/>
    </xf>
    <xf numFmtId="166" fontId="6" fillId="0" borderId="43" xfId="0" applyNumberFormat="1" applyFont="1" applyBorder="1" applyAlignment="1" applyProtection="1">
      <alignment horizontal="center"/>
      <protection locked="0"/>
    </xf>
    <xf numFmtId="49" fontId="6" fillId="0" borderId="6" xfId="0" applyNumberFormat="1" applyFont="1" applyBorder="1" applyAlignment="1" applyProtection="1">
      <alignment horizontal="center" vertical="center" wrapText="1"/>
      <protection locked="0"/>
    </xf>
    <xf numFmtId="49" fontId="6" fillId="0" borderId="44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6" fillId="0" borderId="3" xfId="0" applyNumberFormat="1" applyFont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24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" fillId="0" borderId="0" xfId="1" applyAlignment="1" applyProtection="1">
      <protection locked="0"/>
    </xf>
    <xf numFmtId="0" fontId="17" fillId="0" borderId="45" xfId="0" applyFont="1" applyBorder="1" applyProtection="1">
      <protection locked="0"/>
    </xf>
    <xf numFmtId="0" fontId="17" fillId="0" borderId="46" xfId="0" applyFont="1" applyBorder="1" applyProtection="1">
      <protection locked="0"/>
    </xf>
    <xf numFmtId="0" fontId="17" fillId="0" borderId="47" xfId="0" applyFont="1" applyBorder="1" applyProtection="1">
      <protection locked="0"/>
    </xf>
    <xf numFmtId="0" fontId="19" fillId="0" borderId="8" xfId="0" applyFont="1" applyBorder="1" applyProtection="1">
      <protection locked="0"/>
    </xf>
    <xf numFmtId="49" fontId="17" fillId="0" borderId="0" xfId="0" applyNumberFormat="1" applyFont="1" applyProtection="1">
      <protection locked="0"/>
    </xf>
    <xf numFmtId="0" fontId="19" fillId="0" borderId="0" xfId="0" applyFont="1" applyProtection="1">
      <protection locked="0"/>
    </xf>
    <xf numFmtId="0" fontId="17" fillId="0" borderId="0" xfId="0" applyFont="1" applyAlignment="1" applyProtection="1">
      <alignment horizontal="right"/>
      <protection locked="0"/>
    </xf>
    <xf numFmtId="0" fontId="17" fillId="0" borderId="7" xfId="0" applyFont="1" applyBorder="1" applyProtection="1">
      <protection locked="0"/>
    </xf>
    <xf numFmtId="0" fontId="20" fillId="0" borderId="8" xfId="0" applyFont="1" applyBorder="1" applyProtection="1">
      <protection locked="0"/>
    </xf>
    <xf numFmtId="49" fontId="21" fillId="6" borderId="8" xfId="0" applyNumberFormat="1" applyFont="1" applyFill="1" applyBorder="1" applyProtection="1">
      <protection locked="0"/>
    </xf>
    <xf numFmtId="0" fontId="22" fillId="6" borderId="0" xfId="0" applyFont="1" applyFill="1" applyProtection="1">
      <protection locked="0"/>
    </xf>
    <xf numFmtId="0" fontId="17" fillId="6" borderId="0" xfId="0" applyFont="1" applyFill="1" applyProtection="1">
      <protection locked="0"/>
    </xf>
    <xf numFmtId="49" fontId="17" fillId="6" borderId="0" xfId="0" applyNumberFormat="1" applyFont="1" applyFill="1" applyProtection="1">
      <protection locked="0"/>
    </xf>
    <xf numFmtId="49" fontId="21" fillId="6" borderId="0" xfId="0" applyNumberFormat="1" applyFont="1" applyFill="1" applyProtection="1">
      <protection locked="0"/>
    </xf>
    <xf numFmtId="0" fontId="21" fillId="6" borderId="0" xfId="0" applyFont="1" applyFill="1" applyProtection="1">
      <protection locked="0"/>
    </xf>
    <xf numFmtId="0" fontId="17" fillId="6" borderId="7" xfId="0" applyFont="1" applyFill="1" applyBorder="1" applyProtection="1">
      <protection locked="0"/>
    </xf>
    <xf numFmtId="0" fontId="17" fillId="0" borderId="8" xfId="0" applyFont="1" applyBorder="1" applyProtection="1">
      <protection locked="0"/>
    </xf>
    <xf numFmtId="0" fontId="24" fillId="0" borderId="31" xfId="0" applyFont="1" applyBorder="1" applyProtection="1">
      <protection locked="0"/>
    </xf>
    <xf numFmtId="0" fontId="17" fillId="0" borderId="48" xfId="0" applyFont="1" applyBorder="1" applyProtection="1">
      <protection locked="0"/>
    </xf>
    <xf numFmtId="0" fontId="17" fillId="0" borderId="49" xfId="0" applyFont="1" applyBorder="1" applyProtection="1">
      <protection locked="0"/>
    </xf>
    <xf numFmtId="0" fontId="17" fillId="0" borderId="50" xfId="0" applyFont="1" applyBorder="1" applyProtection="1">
      <protection locked="0"/>
    </xf>
    <xf numFmtId="0" fontId="17" fillId="0" borderId="51" xfId="0" applyFont="1" applyBorder="1" applyProtection="1">
      <protection locked="0"/>
    </xf>
    <xf numFmtId="0" fontId="17" fillId="0" borderId="52" xfId="0" applyFont="1" applyBorder="1" applyProtection="1">
      <protection locked="0"/>
    </xf>
    <xf numFmtId="0" fontId="17" fillId="0" borderId="53" xfId="0" applyFont="1" applyBorder="1" applyProtection="1">
      <protection locked="0"/>
    </xf>
    <xf numFmtId="0" fontId="23" fillId="0" borderId="0" xfId="0" applyFont="1" applyProtection="1">
      <protection locked="0"/>
    </xf>
    <xf numFmtId="0" fontId="17" fillId="0" borderId="54" xfId="0" applyFont="1" applyBorder="1" applyProtection="1">
      <protection locked="0"/>
    </xf>
    <xf numFmtId="0" fontId="17" fillId="0" borderId="31" xfId="0" applyFont="1" applyBorder="1" applyProtection="1">
      <protection locked="0"/>
    </xf>
    <xf numFmtId="0" fontId="17" fillId="0" borderId="55" xfId="0" applyFont="1" applyBorder="1" applyProtection="1">
      <protection locked="0"/>
    </xf>
    <xf numFmtId="0" fontId="17" fillId="6" borderId="16" xfId="0" applyFont="1" applyFill="1" applyBorder="1" applyProtection="1">
      <protection locked="0"/>
    </xf>
    <xf numFmtId="0" fontId="17" fillId="6" borderId="17" xfId="0" applyFont="1" applyFill="1" applyBorder="1" applyProtection="1">
      <protection locked="0"/>
    </xf>
    <xf numFmtId="0" fontId="5" fillId="6" borderId="17" xfId="0" applyFont="1" applyFill="1" applyBorder="1" applyProtection="1">
      <protection locked="0"/>
    </xf>
    <xf numFmtId="0" fontId="17" fillId="6" borderId="46" xfId="0" applyFont="1" applyFill="1" applyBorder="1" applyProtection="1">
      <protection locked="0"/>
    </xf>
    <xf numFmtId="0" fontId="17" fillId="6" borderId="18" xfId="0" applyFont="1" applyFill="1" applyBorder="1" applyProtection="1">
      <protection locked="0"/>
    </xf>
    <xf numFmtId="0" fontId="17" fillId="0" borderId="56" xfId="0" applyFont="1" applyBorder="1" applyProtection="1">
      <protection locked="0"/>
    </xf>
    <xf numFmtId="0" fontId="17" fillId="0" borderId="35" xfId="0" applyFont="1" applyBorder="1" applyProtection="1">
      <protection locked="0"/>
    </xf>
    <xf numFmtId="0" fontId="17" fillId="0" borderId="57" xfId="0" applyFont="1" applyBorder="1" applyProtection="1">
      <protection locked="0"/>
    </xf>
    <xf numFmtId="0" fontId="17" fillId="0" borderId="47" xfId="0" applyFont="1" applyBorder="1" applyAlignment="1" applyProtection="1">
      <alignment horizontal="center"/>
      <protection locked="0"/>
    </xf>
    <xf numFmtId="0" fontId="17" fillId="0" borderId="4" xfId="0" applyFont="1" applyBorder="1" applyAlignment="1" applyProtection="1">
      <alignment horizontal="center"/>
      <protection locked="0"/>
    </xf>
    <xf numFmtId="0" fontId="17" fillId="0" borderId="4" xfId="0" applyFont="1" applyBorder="1" applyProtection="1">
      <protection locked="0"/>
    </xf>
    <xf numFmtId="0" fontId="17" fillId="0" borderId="6" xfId="0" applyFont="1" applyBorder="1" applyProtection="1">
      <protection locked="0"/>
    </xf>
    <xf numFmtId="0" fontId="17" fillId="0" borderId="26" xfId="0" applyFont="1" applyBorder="1" applyAlignment="1" applyProtection="1">
      <alignment horizontal="center"/>
      <protection locked="0"/>
    </xf>
    <xf numFmtId="0" fontId="17" fillId="0" borderId="24" xfId="0" applyFont="1" applyBorder="1" applyAlignment="1" applyProtection="1">
      <alignment horizontal="center"/>
      <protection locked="0"/>
    </xf>
    <xf numFmtId="0" fontId="17" fillId="0" borderId="58" xfId="0" applyFont="1" applyBorder="1" applyAlignment="1" applyProtection="1">
      <alignment horizontal="center"/>
      <protection locked="0"/>
    </xf>
    <xf numFmtId="0" fontId="5" fillId="0" borderId="59" xfId="0" applyFont="1" applyBorder="1" applyProtection="1">
      <protection locked="0"/>
    </xf>
    <xf numFmtId="0" fontId="5" fillId="6" borderId="40" xfId="0" applyFont="1" applyFill="1" applyBorder="1" applyProtection="1">
      <protection locked="0"/>
    </xf>
    <xf numFmtId="0" fontId="5" fillId="0" borderId="40" xfId="0" applyFont="1" applyBorder="1" applyProtection="1">
      <protection locked="0"/>
    </xf>
    <xf numFmtId="2" fontId="5" fillId="0" borderId="40" xfId="0" applyNumberFormat="1" applyFont="1" applyBorder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center"/>
      <protection locked="0"/>
    </xf>
    <xf numFmtId="0" fontId="5" fillId="0" borderId="60" xfId="0" applyFont="1" applyBorder="1" applyAlignment="1" applyProtection="1">
      <alignment horizontal="center"/>
      <protection locked="0"/>
    </xf>
    <xf numFmtId="0" fontId="5" fillId="0" borderId="22" xfId="0" applyFont="1" applyBorder="1" applyProtection="1">
      <protection locked="0"/>
    </xf>
    <xf numFmtId="0" fontId="5" fillId="6" borderId="15" xfId="0" applyFont="1" applyFill="1" applyBorder="1" applyProtection="1">
      <protection locked="0"/>
    </xf>
    <xf numFmtId="0" fontId="5" fillId="0" borderId="15" xfId="0" applyFont="1" applyBorder="1" applyProtection="1">
      <protection locked="0"/>
    </xf>
    <xf numFmtId="2" fontId="5" fillId="0" borderId="15" xfId="0" applyNumberFormat="1" applyFont="1" applyBorder="1" applyAlignment="1" applyProtection="1">
      <alignment horizontal="center"/>
      <protection locked="0"/>
    </xf>
    <xf numFmtId="0" fontId="5" fillId="0" borderId="15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7" borderId="22" xfId="0" applyFont="1" applyFill="1" applyBorder="1" applyProtection="1">
      <protection locked="0"/>
    </xf>
    <xf numFmtId="0" fontId="5" fillId="7" borderId="15" xfId="0" applyFont="1" applyFill="1" applyBorder="1" applyProtection="1">
      <protection locked="0"/>
    </xf>
    <xf numFmtId="0" fontId="5" fillId="7" borderId="15" xfId="0" applyFont="1" applyFill="1" applyBorder="1" applyAlignment="1" applyProtection="1">
      <alignment horizontal="center"/>
      <protection locked="0"/>
    </xf>
    <xf numFmtId="0" fontId="5" fillId="7" borderId="21" xfId="0" applyFont="1" applyFill="1" applyBorder="1" applyAlignment="1" applyProtection="1">
      <alignment horizontal="center"/>
      <protection locked="0"/>
    </xf>
    <xf numFmtId="0" fontId="5" fillId="7" borderId="30" xfId="0" applyFont="1" applyFill="1" applyBorder="1" applyProtection="1">
      <protection locked="0"/>
    </xf>
    <xf numFmtId="0" fontId="5" fillId="6" borderId="28" xfId="0" applyFont="1" applyFill="1" applyBorder="1" applyProtection="1">
      <protection locked="0"/>
    </xf>
    <xf numFmtId="0" fontId="5" fillId="7" borderId="28" xfId="0" applyFont="1" applyFill="1" applyBorder="1" applyProtection="1">
      <protection locked="0"/>
    </xf>
    <xf numFmtId="2" fontId="5" fillId="7" borderId="28" xfId="0" applyNumberFormat="1" applyFont="1" applyFill="1" applyBorder="1" applyAlignment="1" applyProtection="1">
      <alignment horizontal="center"/>
      <protection locked="0"/>
    </xf>
    <xf numFmtId="0" fontId="5" fillId="7" borderId="28" xfId="0" applyFont="1" applyFill="1" applyBorder="1" applyAlignment="1" applyProtection="1">
      <alignment horizontal="center"/>
      <protection locked="0"/>
    </xf>
    <xf numFmtId="0" fontId="5" fillId="7" borderId="29" xfId="0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0" fontId="5" fillId="0" borderId="40" xfId="0" applyFont="1" applyBorder="1"/>
    <xf numFmtId="0" fontId="5" fillId="0" borderId="15" xfId="0" applyFont="1" applyBorder="1"/>
    <xf numFmtId="0" fontId="5" fillId="0" borderId="28" xfId="0" applyFont="1" applyBorder="1"/>
    <xf numFmtId="9" fontId="5" fillId="0" borderId="40" xfId="0" applyNumberFormat="1" applyFont="1" applyBorder="1" applyAlignment="1">
      <alignment horizontal="center"/>
    </xf>
    <xf numFmtId="9" fontId="5" fillId="0" borderId="15" xfId="0" applyNumberFormat="1" applyFont="1" applyBorder="1" applyAlignment="1">
      <alignment horizontal="center"/>
    </xf>
    <xf numFmtId="9" fontId="5" fillId="0" borderId="28" xfId="0" applyNumberFormat="1" applyFont="1" applyBorder="1" applyAlignment="1">
      <alignment horizontal="center"/>
    </xf>
    <xf numFmtId="0" fontId="27" fillId="0" borderId="8" xfId="0" applyFont="1" applyBorder="1" applyProtection="1">
      <protection locked="0"/>
    </xf>
    <xf numFmtId="0" fontId="27" fillId="0" borderId="0" xfId="0" applyFont="1" applyProtection="1">
      <protection locked="0"/>
    </xf>
    <xf numFmtId="0" fontId="27" fillId="0" borderId="7" xfId="0" applyFont="1" applyBorder="1" applyProtection="1">
      <protection locked="0"/>
    </xf>
    <xf numFmtId="0" fontId="3" fillId="0" borderId="0" xfId="0" applyFont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17" fillId="0" borderId="4" xfId="0" quotePrefix="1" applyFont="1" applyBorder="1" applyAlignment="1" applyProtection="1">
      <alignment horizontal="center"/>
      <protection locked="0"/>
    </xf>
    <xf numFmtId="0" fontId="17" fillId="0" borderId="6" xfId="0" applyFont="1" applyBorder="1" applyAlignment="1" applyProtection="1">
      <alignment horizontal="center"/>
      <protection locked="0"/>
    </xf>
    <xf numFmtId="0" fontId="17" fillId="6" borderId="40" xfId="0" applyFont="1" applyFill="1" applyBorder="1" applyProtection="1">
      <protection locked="0"/>
    </xf>
    <xf numFmtId="0" fontId="17" fillId="6" borderId="15" xfId="0" applyFont="1" applyFill="1" applyBorder="1" applyProtection="1">
      <protection locked="0"/>
    </xf>
    <xf numFmtId="164" fontId="17" fillId="0" borderId="0" xfId="0" applyNumberFormat="1" applyFont="1" applyProtection="1">
      <protection locked="0"/>
    </xf>
    <xf numFmtId="0" fontId="19" fillId="0" borderId="0" xfId="0" applyFont="1" applyAlignment="1" applyProtection="1">
      <alignment horizontal="right"/>
      <protection locked="0"/>
    </xf>
    <xf numFmtId="166" fontId="6" fillId="0" borderId="40" xfId="0" applyNumberFormat="1" applyFont="1" applyBorder="1" applyAlignment="1">
      <alignment horizontal="center"/>
    </xf>
    <xf numFmtId="166" fontId="6" fillId="0" borderId="15" xfId="0" applyNumberFormat="1" applyFont="1" applyBorder="1" applyAlignment="1">
      <alignment horizontal="center"/>
    </xf>
    <xf numFmtId="166" fontId="6" fillId="0" borderId="28" xfId="0" applyNumberFormat="1" applyFont="1" applyBorder="1" applyAlignment="1">
      <alignment horizontal="center"/>
    </xf>
    <xf numFmtId="0" fontId="1" fillId="0" borderId="28" xfId="1" applyBorder="1" applyAlignment="1" applyProtection="1"/>
    <xf numFmtId="0" fontId="1" fillId="0" borderId="0" xfId="1" applyAlignment="1" applyProtection="1"/>
    <xf numFmtId="0" fontId="24" fillId="8" borderId="54" xfId="0" applyFont="1" applyFill="1" applyBorder="1" applyProtection="1">
      <protection locked="0"/>
    </xf>
    <xf numFmtId="0" fontId="24" fillId="8" borderId="31" xfId="0" applyFont="1" applyFill="1" applyBorder="1" applyProtection="1">
      <protection locked="0"/>
    </xf>
    <xf numFmtId="0" fontId="24" fillId="8" borderId="16" xfId="2" applyNumberFormat="1" applyFont="1" applyFill="1" applyBorder="1" applyAlignment="1" applyProtection="1">
      <alignment horizontal="center"/>
      <protection locked="0"/>
    </xf>
    <xf numFmtId="0" fontId="24" fillId="8" borderId="18" xfId="2" applyNumberFormat="1" applyFont="1" applyFill="1" applyBorder="1" applyAlignment="1" applyProtection="1">
      <alignment horizontal="center"/>
      <protection locked="0"/>
    </xf>
    <xf numFmtId="0" fontId="24" fillId="0" borderId="45" xfId="0" applyFont="1" applyBorder="1" applyAlignment="1" applyProtection="1">
      <alignment horizontal="left"/>
      <protection locked="0"/>
    </xf>
    <xf numFmtId="0" fontId="0" fillId="0" borderId="47" xfId="0" applyBorder="1"/>
    <xf numFmtId="0" fontId="5" fillId="8" borderId="54" xfId="0" applyFont="1" applyFill="1" applyBorder="1" applyAlignment="1" applyProtection="1">
      <alignment horizontal="left"/>
      <protection locked="0"/>
    </xf>
    <xf numFmtId="0" fontId="5" fillId="8" borderId="31" xfId="0" applyFont="1" applyFill="1" applyBorder="1" applyAlignment="1" applyProtection="1">
      <alignment horizontal="left"/>
      <protection locked="0"/>
    </xf>
    <xf numFmtId="0" fontId="5" fillId="8" borderId="55" xfId="0" applyFont="1" applyFill="1" applyBorder="1" applyAlignment="1" applyProtection="1">
      <alignment horizontal="left"/>
      <protection locked="0"/>
    </xf>
    <xf numFmtId="0" fontId="0" fillId="0" borderId="55" xfId="0" applyBorder="1" applyAlignment="1">
      <alignment horizontal="left"/>
    </xf>
    <xf numFmtId="0" fontId="24" fillId="8" borderId="16" xfId="0" applyFont="1" applyFill="1" applyBorder="1" applyProtection="1">
      <protection locked="0"/>
    </xf>
    <xf numFmtId="0" fontId="24" fillId="8" borderId="17" xfId="0" applyFont="1" applyFill="1" applyBorder="1" applyProtection="1">
      <protection locked="0"/>
    </xf>
    <xf numFmtId="0" fontId="24" fillId="8" borderId="18" xfId="0" applyFont="1" applyFill="1" applyBorder="1" applyProtection="1">
      <protection locked="0"/>
    </xf>
    <xf numFmtId="0" fontId="24" fillId="0" borderId="48" xfId="0" applyFont="1" applyBorder="1" applyAlignment="1" applyProtection="1">
      <alignment horizontal="left"/>
      <protection locked="0"/>
    </xf>
    <xf numFmtId="0" fontId="0" fillId="0" borderId="50" xfId="0" applyBorder="1"/>
    <xf numFmtId="1" fontId="24" fillId="0" borderId="54" xfId="0" applyNumberFormat="1" applyFont="1" applyBorder="1" applyAlignment="1" applyProtection="1">
      <alignment horizontal="left"/>
      <protection locked="0"/>
    </xf>
    <xf numFmtId="1" fontId="24" fillId="0" borderId="55" xfId="0" applyNumberFormat="1" applyFont="1" applyBorder="1" applyAlignment="1" applyProtection="1">
      <alignment horizontal="left"/>
      <protection locked="0"/>
    </xf>
    <xf numFmtId="0" fontId="24" fillId="8" borderId="48" xfId="0" applyFont="1" applyFill="1" applyBorder="1" applyAlignment="1" applyProtection="1">
      <alignment horizontal="left"/>
      <protection locked="0"/>
    </xf>
    <xf numFmtId="0" fontId="24" fillId="8" borderId="49" xfId="0" applyFont="1" applyFill="1" applyBorder="1" applyAlignment="1" applyProtection="1">
      <alignment horizontal="left"/>
      <protection locked="0"/>
    </xf>
    <xf numFmtId="0" fontId="24" fillId="8" borderId="50" xfId="0" applyFont="1" applyFill="1" applyBorder="1" applyAlignment="1" applyProtection="1">
      <alignment horizontal="left"/>
      <protection locked="0"/>
    </xf>
    <xf numFmtId="0" fontId="24" fillId="8" borderId="16" xfId="0" applyFont="1" applyFill="1" applyBorder="1" applyAlignment="1" applyProtection="1">
      <alignment horizontal="left"/>
      <protection locked="0"/>
    </xf>
    <xf numFmtId="0" fontId="24" fillId="8" borderId="17" xfId="0" applyFont="1" applyFill="1" applyBorder="1" applyAlignment="1" applyProtection="1">
      <alignment horizontal="left"/>
      <protection locked="0"/>
    </xf>
    <xf numFmtId="0" fontId="24" fillId="8" borderId="18" xfId="0" applyFont="1" applyFill="1" applyBorder="1" applyAlignment="1" applyProtection="1">
      <alignment horizontal="left"/>
      <protection locked="0"/>
    </xf>
    <xf numFmtId="0" fontId="24" fillId="0" borderId="16" xfId="0" applyFont="1" applyBorder="1" applyAlignment="1" applyProtection="1">
      <alignment horizontal="left"/>
      <protection locked="0"/>
    </xf>
    <xf numFmtId="0" fontId="0" fillId="0" borderId="18" xfId="0" applyBorder="1"/>
    <xf numFmtId="0" fontId="24" fillId="0" borderId="54" xfId="0" applyFont="1" applyBorder="1" applyAlignment="1" applyProtection="1">
      <alignment horizontal="left"/>
      <protection locked="0"/>
    </xf>
    <xf numFmtId="0" fontId="24" fillId="0" borderId="31" xfId="0" applyFont="1" applyBorder="1" applyAlignment="1" applyProtection="1">
      <alignment horizontal="left"/>
      <protection locked="0"/>
    </xf>
    <xf numFmtId="0" fontId="0" fillId="0" borderId="31" xfId="0" applyBorder="1"/>
    <xf numFmtId="0" fontId="24" fillId="0" borderId="16" xfId="0" applyFont="1" applyBorder="1" applyProtection="1">
      <protection locked="0"/>
    </xf>
    <xf numFmtId="0" fontId="24" fillId="0" borderId="17" xfId="0" applyFont="1" applyBorder="1" applyProtection="1">
      <protection locked="0"/>
    </xf>
    <xf numFmtId="0" fontId="0" fillId="0" borderId="17" xfId="0" applyBorder="1"/>
    <xf numFmtId="0" fontId="24" fillId="8" borderId="51" xfId="0" applyFont="1" applyFill="1" applyBorder="1" applyAlignment="1" applyProtection="1">
      <alignment horizontal="left"/>
      <protection locked="0"/>
    </xf>
    <xf numFmtId="0" fontId="24" fillId="8" borderId="52" xfId="0" applyFont="1" applyFill="1" applyBorder="1" applyAlignment="1" applyProtection="1">
      <alignment horizontal="left"/>
      <protection locked="0"/>
    </xf>
    <xf numFmtId="0" fontId="24" fillId="8" borderId="53" xfId="0" applyFont="1" applyFill="1" applyBorder="1" applyAlignment="1" applyProtection="1">
      <alignment horizontal="left"/>
      <protection locked="0"/>
    </xf>
    <xf numFmtId="0" fontId="17" fillId="0" borderId="63" xfId="0" applyFont="1" applyBorder="1" applyProtection="1">
      <protection locked="0"/>
    </xf>
    <xf numFmtId="0" fontId="17" fillId="0" borderId="64" xfId="0" applyFont="1" applyBorder="1" applyProtection="1">
      <protection locked="0"/>
    </xf>
    <xf numFmtId="0" fontId="17" fillId="0" borderId="58" xfId="0" applyFont="1" applyBorder="1" applyProtection="1">
      <protection locked="0"/>
    </xf>
    <xf numFmtId="0" fontId="17" fillId="0" borderId="61" xfId="0" applyFont="1" applyBorder="1" applyProtection="1">
      <protection locked="0"/>
    </xf>
    <xf numFmtId="0" fontId="17" fillId="0" borderId="35" xfId="0" applyFont="1" applyBorder="1" applyProtection="1">
      <protection locked="0"/>
    </xf>
    <xf numFmtId="0" fontId="17" fillId="0" borderId="57" xfId="0" applyFont="1" applyBorder="1" applyProtection="1">
      <protection locked="0"/>
    </xf>
    <xf numFmtId="14" fontId="17" fillId="0" borderId="63" xfId="0" applyNumberFormat="1" applyFont="1" applyBorder="1" applyProtection="1">
      <protection locked="0"/>
    </xf>
    <xf numFmtId="3" fontId="5" fillId="0" borderId="71" xfId="0" applyNumberFormat="1" applyFont="1" applyBorder="1" applyAlignment="1">
      <alignment horizontal="center"/>
    </xf>
    <xf numFmtId="3" fontId="5" fillId="0" borderId="41" xfId="0" applyNumberFormat="1" applyFont="1" applyBorder="1" applyAlignment="1">
      <alignment horizontal="center"/>
    </xf>
    <xf numFmtId="3" fontId="5" fillId="0" borderId="70" xfId="0" applyNumberFormat="1" applyFont="1" applyBorder="1" applyAlignment="1">
      <alignment horizontal="center"/>
    </xf>
    <xf numFmtId="3" fontId="5" fillId="0" borderId="42" xfId="0" applyNumberFormat="1" applyFont="1" applyBorder="1" applyAlignment="1">
      <alignment horizontal="center"/>
    </xf>
    <xf numFmtId="0" fontId="17" fillId="0" borderId="65" xfId="0" applyFont="1" applyBorder="1" applyProtection="1">
      <protection locked="0"/>
    </xf>
    <xf numFmtId="0" fontId="17" fillId="0" borderId="62" xfId="0" applyFont="1" applyBorder="1" applyProtection="1">
      <protection locked="0"/>
    </xf>
    <xf numFmtId="0" fontId="5" fillId="0" borderId="71" xfId="0" applyFont="1" applyBorder="1" applyAlignment="1" applyProtection="1">
      <alignment horizontal="center"/>
      <protection locked="0"/>
    </xf>
    <xf numFmtId="0" fontId="5" fillId="0" borderId="49" xfId="0" applyFont="1" applyBorder="1" applyAlignment="1" applyProtection="1">
      <alignment horizontal="center"/>
      <protection locked="0"/>
    </xf>
    <xf numFmtId="0" fontId="5" fillId="0" borderId="41" xfId="0" applyFont="1" applyBorder="1" applyAlignment="1" applyProtection="1">
      <alignment horizontal="center"/>
      <protection locked="0"/>
    </xf>
    <xf numFmtId="0" fontId="17" fillId="0" borderId="45" xfId="0" applyFont="1" applyBorder="1" applyAlignment="1" applyProtection="1">
      <alignment horizontal="center"/>
      <protection locked="0"/>
    </xf>
    <xf numFmtId="0" fontId="17" fillId="0" borderId="47" xfId="0" applyFont="1" applyBorder="1" applyAlignment="1" applyProtection="1">
      <alignment horizontal="center"/>
      <protection locked="0"/>
    </xf>
    <xf numFmtId="0" fontId="17" fillId="0" borderId="8" xfId="0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center"/>
      <protection locked="0"/>
    </xf>
    <xf numFmtId="0" fontId="17" fillId="0" borderId="54" xfId="0" applyFont="1" applyBorder="1" applyAlignment="1" applyProtection="1">
      <alignment horizontal="center"/>
      <protection locked="0"/>
    </xf>
    <xf numFmtId="0" fontId="17" fillId="0" borderId="55" xfId="0" applyFont="1" applyBorder="1" applyAlignment="1" applyProtection="1">
      <alignment horizontal="center"/>
      <protection locked="0"/>
    </xf>
    <xf numFmtId="0" fontId="17" fillId="0" borderId="8" xfId="0" applyFont="1" applyBorder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68" xfId="0" applyFont="1" applyBorder="1" applyAlignment="1" applyProtection="1">
      <alignment vertical="center"/>
      <protection locked="0"/>
    </xf>
    <xf numFmtId="3" fontId="5" fillId="0" borderId="69" xfId="0" applyNumberFormat="1" applyFont="1" applyBorder="1" applyAlignment="1">
      <alignment horizontal="center"/>
    </xf>
    <xf numFmtId="3" fontId="5" fillId="0" borderId="43" xfId="0" applyNumberFormat="1" applyFont="1" applyBorder="1" applyAlignment="1">
      <alignment horizontal="center"/>
    </xf>
    <xf numFmtId="0" fontId="5" fillId="8" borderId="0" xfId="0" applyFont="1" applyFill="1" applyAlignment="1" applyProtection="1">
      <alignment horizontal="left"/>
      <protection locked="0"/>
    </xf>
    <xf numFmtId="0" fontId="5" fillId="8" borderId="7" xfId="0" applyFont="1" applyFill="1" applyBorder="1" applyAlignment="1" applyProtection="1">
      <alignment horizontal="left"/>
      <protection locked="0"/>
    </xf>
    <xf numFmtId="164" fontId="17" fillId="8" borderId="0" xfId="0" applyNumberFormat="1" applyFont="1" applyFill="1" applyAlignment="1" applyProtection="1">
      <alignment horizontal="center"/>
      <protection locked="0"/>
    </xf>
    <xf numFmtId="0" fontId="24" fillId="8" borderId="0" xfId="2" applyNumberFormat="1" applyFont="1" applyFill="1" applyBorder="1" applyAlignment="1" applyProtection="1">
      <alignment horizontal="center"/>
      <protection locked="0"/>
    </xf>
    <xf numFmtId="168" fontId="17" fillId="8" borderId="0" xfId="0" applyNumberFormat="1" applyFont="1" applyFill="1" applyAlignment="1" applyProtection="1">
      <alignment horizontal="center"/>
      <protection locked="0"/>
    </xf>
    <xf numFmtId="0" fontId="5" fillId="8" borderId="0" xfId="0" applyFont="1" applyFill="1" applyProtection="1">
      <protection locked="0"/>
    </xf>
    <xf numFmtId="0" fontId="5" fillId="8" borderId="7" xfId="0" applyFont="1" applyFill="1" applyBorder="1" applyProtection="1">
      <protection locked="0"/>
    </xf>
    <xf numFmtId="167" fontId="11" fillId="8" borderId="31" xfId="0" applyNumberFormat="1" applyFont="1" applyFill="1" applyBorder="1" applyProtection="1">
      <protection locked="0"/>
    </xf>
    <xf numFmtId="167" fontId="11" fillId="8" borderId="55" xfId="0" applyNumberFormat="1" applyFont="1" applyFill="1" applyBorder="1" applyProtection="1">
      <protection locked="0"/>
    </xf>
    <xf numFmtId="0" fontId="19" fillId="8" borderId="0" xfId="0" applyFont="1" applyFill="1" applyProtection="1">
      <protection locked="0"/>
    </xf>
    <xf numFmtId="0" fontId="0" fillId="0" borderId="0" xfId="0"/>
    <xf numFmtId="0" fontId="24" fillId="8" borderId="8" xfId="0" applyFont="1" applyFill="1" applyBorder="1" applyAlignment="1" applyProtection="1">
      <alignment horizontal="left"/>
      <protection locked="0"/>
    </xf>
    <xf numFmtId="0" fontId="24" fillId="8" borderId="7" xfId="0" applyFont="1" applyFill="1" applyBorder="1" applyAlignment="1" applyProtection="1">
      <alignment horizontal="left"/>
      <protection locked="0"/>
    </xf>
    <xf numFmtId="0" fontId="15" fillId="6" borderId="16" xfId="0" applyFont="1" applyFill="1" applyBorder="1" applyAlignment="1" applyProtection="1">
      <alignment horizontal="center"/>
      <protection locked="0"/>
    </xf>
    <xf numFmtId="0" fontId="15" fillId="6" borderId="17" xfId="0" applyFont="1" applyFill="1" applyBorder="1" applyAlignment="1" applyProtection="1">
      <alignment horizontal="center"/>
      <protection locked="0"/>
    </xf>
    <xf numFmtId="0" fontId="15" fillId="6" borderId="18" xfId="0" applyFont="1" applyFill="1" applyBorder="1" applyAlignment="1" applyProtection="1">
      <alignment horizontal="center"/>
      <protection locked="0"/>
    </xf>
    <xf numFmtId="9" fontId="17" fillId="0" borderId="51" xfId="0" applyNumberFormat="1" applyFont="1" applyBorder="1" applyProtection="1">
      <protection locked="0"/>
    </xf>
    <xf numFmtId="9" fontId="17" fillId="0" borderId="52" xfId="0" applyNumberFormat="1" applyFont="1" applyBorder="1" applyProtection="1">
      <protection locked="0"/>
    </xf>
    <xf numFmtId="9" fontId="17" fillId="0" borderId="53" xfId="0" applyNumberFormat="1" applyFont="1" applyBorder="1" applyProtection="1">
      <protection locked="0"/>
    </xf>
    <xf numFmtId="0" fontId="24" fillId="8" borderId="45" xfId="0" applyFont="1" applyFill="1" applyBorder="1" applyAlignment="1" applyProtection="1">
      <alignment horizontal="left"/>
      <protection locked="0"/>
    </xf>
    <xf numFmtId="0" fontId="24" fillId="8" borderId="47" xfId="0" applyFont="1" applyFill="1" applyBorder="1" applyAlignment="1" applyProtection="1">
      <alignment horizontal="left"/>
      <protection locked="0"/>
    </xf>
    <xf numFmtId="0" fontId="17" fillId="0" borderId="66" xfId="0" applyFont="1" applyBorder="1" applyProtection="1">
      <protection locked="0"/>
    </xf>
    <xf numFmtId="0" fontId="17" fillId="0" borderId="67" xfId="0" applyFont="1" applyBorder="1" applyProtection="1">
      <protection locked="0"/>
    </xf>
    <xf numFmtId="0" fontId="24" fillId="0" borderId="54" xfId="0" applyFont="1" applyBorder="1" applyProtection="1">
      <protection locked="0"/>
    </xf>
    <xf numFmtId="0" fontId="24" fillId="0" borderId="31" xfId="0" applyFont="1" applyBorder="1" applyProtection="1">
      <protection locked="0"/>
    </xf>
    <xf numFmtId="0" fontId="24" fillId="0" borderId="55" xfId="0" applyFont="1" applyBorder="1" applyProtection="1">
      <protection locked="0"/>
    </xf>
    <xf numFmtId="0" fontId="28" fillId="0" borderId="54" xfId="0" applyFont="1" applyBorder="1" applyAlignment="1" applyProtection="1">
      <alignment horizontal="left"/>
      <protection locked="0"/>
    </xf>
    <xf numFmtId="0" fontId="28" fillId="0" borderId="55" xfId="0" applyFont="1" applyBorder="1" applyAlignment="1" applyProtection="1">
      <alignment horizontal="left"/>
      <protection locked="0"/>
    </xf>
    <xf numFmtId="0" fontId="24" fillId="8" borderId="54" xfId="0" applyFont="1" applyFill="1" applyBorder="1" applyAlignment="1" applyProtection="1">
      <alignment horizontal="left" wrapText="1"/>
      <protection locked="0"/>
    </xf>
    <xf numFmtId="0" fontId="24" fillId="8" borderId="55" xfId="0" applyFont="1" applyFill="1" applyBorder="1" applyAlignment="1" applyProtection="1">
      <alignment horizontal="left"/>
      <protection locked="0"/>
    </xf>
    <xf numFmtId="49" fontId="24" fillId="0" borderId="16" xfId="0" applyNumberFormat="1" applyFont="1" applyBorder="1" applyAlignment="1" applyProtection="1">
      <alignment horizontal="left"/>
      <protection locked="0"/>
    </xf>
    <xf numFmtId="49" fontId="24" fillId="0" borderId="18" xfId="0" applyNumberFormat="1" applyFont="1" applyBorder="1" applyAlignment="1" applyProtection="1">
      <alignment horizontal="left"/>
      <protection locked="0"/>
    </xf>
    <xf numFmtId="0" fontId="24" fillId="0" borderId="8" xfId="0" applyFont="1" applyBorder="1" applyAlignment="1" applyProtection="1">
      <alignment horizontal="left"/>
      <protection locked="0"/>
    </xf>
    <xf numFmtId="0" fontId="24" fillId="0" borderId="7" xfId="0" applyFont="1" applyBorder="1" applyAlignment="1" applyProtection="1">
      <alignment horizontal="left"/>
      <protection locked="0"/>
    </xf>
    <xf numFmtId="1" fontId="24" fillId="8" borderId="54" xfId="0" applyNumberFormat="1" applyFont="1" applyFill="1" applyBorder="1" applyAlignment="1" applyProtection="1">
      <alignment horizontal="left"/>
      <protection locked="0"/>
    </xf>
    <xf numFmtId="1" fontId="24" fillId="8" borderId="55" xfId="0" applyNumberFormat="1" applyFont="1" applyFill="1" applyBorder="1" applyAlignment="1" applyProtection="1">
      <alignment horizontal="left"/>
      <protection locked="0"/>
    </xf>
    <xf numFmtId="0" fontId="5" fillId="8" borderId="16" xfId="0" applyFont="1" applyFill="1" applyBorder="1" applyAlignment="1" applyProtection="1">
      <alignment horizontal="center"/>
      <protection locked="0"/>
    </xf>
    <xf numFmtId="0" fontId="5" fillId="8" borderId="17" xfId="0" applyFont="1" applyFill="1" applyBorder="1" applyAlignment="1" applyProtection="1">
      <alignment horizontal="center"/>
      <protection locked="0"/>
    </xf>
    <xf numFmtId="0" fontId="5" fillId="8" borderId="18" xfId="0" applyFont="1" applyFill="1" applyBorder="1" applyAlignment="1" applyProtection="1">
      <alignment horizontal="center"/>
      <protection locked="0"/>
    </xf>
    <xf numFmtId="0" fontId="5" fillId="8" borderId="46" xfId="0" applyFont="1" applyFill="1" applyBorder="1" applyAlignment="1" applyProtection="1">
      <alignment horizontal="center"/>
      <protection locked="0"/>
    </xf>
    <xf numFmtId="0" fontId="5" fillId="8" borderId="47" xfId="0" applyFont="1" applyFill="1" applyBorder="1" applyAlignment="1" applyProtection="1">
      <alignment horizontal="center"/>
      <protection locked="0"/>
    </xf>
    <xf numFmtId="0" fontId="24" fillId="0" borderId="18" xfId="0" applyFont="1" applyBorder="1" applyAlignment="1" applyProtection="1">
      <alignment horizontal="left"/>
      <protection locked="0"/>
    </xf>
    <xf numFmtId="0" fontId="24" fillId="0" borderId="56" xfId="0" applyFont="1" applyBorder="1" applyAlignment="1" applyProtection="1">
      <alignment horizontal="left"/>
      <protection locked="0"/>
    </xf>
    <xf numFmtId="0" fontId="24" fillId="0" borderId="35" xfId="0" applyFont="1" applyBorder="1" applyAlignment="1" applyProtection="1">
      <alignment horizontal="left"/>
      <protection locked="0"/>
    </xf>
    <xf numFmtId="0" fontId="24" fillId="0" borderId="57" xfId="0" applyFont="1" applyBorder="1" applyAlignment="1" applyProtection="1">
      <alignment horizontal="left"/>
      <protection locked="0"/>
    </xf>
    <xf numFmtId="167" fontId="11" fillId="8" borderId="0" xfId="0" applyNumberFormat="1" applyFont="1" applyFill="1" applyProtection="1">
      <protection locked="0"/>
    </xf>
    <xf numFmtId="167" fontId="11" fillId="8" borderId="7" xfId="0" applyNumberFormat="1" applyFont="1" applyFill="1" applyBorder="1" applyProtection="1">
      <protection locked="0"/>
    </xf>
    <xf numFmtId="0" fontId="24" fillId="8" borderId="66" xfId="0" applyFont="1" applyFill="1" applyBorder="1" applyAlignment="1" applyProtection="1">
      <alignment horizontal="left"/>
      <protection locked="0"/>
    </xf>
    <xf numFmtId="0" fontId="24" fillId="8" borderId="67" xfId="0" applyFont="1" applyFill="1" applyBorder="1" applyAlignment="1" applyProtection="1">
      <alignment horizontal="left"/>
      <protection locked="0"/>
    </xf>
    <xf numFmtId="0" fontId="24" fillId="8" borderId="72" xfId="0" applyFont="1" applyFill="1" applyBorder="1" applyAlignment="1" applyProtection="1">
      <alignment horizontal="left"/>
      <protection locked="0"/>
    </xf>
    <xf numFmtId="0" fontId="8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8" fillId="2" borderId="45" xfId="0" applyFont="1" applyFill="1" applyBorder="1" applyAlignment="1">
      <alignment horizontal="right"/>
    </xf>
    <xf numFmtId="0" fontId="0" fillId="0" borderId="47" xfId="0" applyBorder="1" applyAlignment="1">
      <alignment horizontal="right"/>
    </xf>
    <xf numFmtId="0" fontId="6" fillId="0" borderId="45" xfId="0" applyFont="1" applyBorder="1" applyAlignment="1" applyProtection="1">
      <alignment horizontal="center"/>
      <protection locked="0"/>
    </xf>
    <xf numFmtId="0" fontId="6" fillId="0" borderId="46" xfId="0" applyFont="1" applyBorder="1" applyAlignment="1" applyProtection="1">
      <alignment horizontal="center"/>
      <protection locked="0"/>
    </xf>
    <xf numFmtId="0" fontId="6" fillId="0" borderId="47" xfId="0" applyFont="1" applyBorder="1" applyAlignment="1" applyProtection="1">
      <alignment horizontal="center"/>
      <protection locked="0"/>
    </xf>
    <xf numFmtId="3" fontId="6" fillId="0" borderId="28" xfId="0" applyNumberFormat="1" applyFont="1" applyBorder="1" applyAlignment="1" applyProtection="1">
      <alignment horizontal="center"/>
      <protection locked="0"/>
    </xf>
    <xf numFmtId="0" fontId="14" fillId="0" borderId="29" xfId="0" applyFont="1" applyBorder="1" applyAlignment="1">
      <alignment horizontal="center"/>
    </xf>
    <xf numFmtId="3" fontId="6" fillId="0" borderId="15" xfId="0" applyNumberFormat="1" applyFont="1" applyBorder="1" applyAlignment="1" applyProtection="1">
      <alignment horizontal="center"/>
      <protection locked="0"/>
    </xf>
    <xf numFmtId="0" fontId="14" fillId="0" borderId="21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76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3" fontId="6" fillId="0" borderId="40" xfId="0" applyNumberFormat="1" applyFont="1" applyBorder="1" applyAlignment="1" applyProtection="1">
      <alignment horizontal="center"/>
      <protection locked="0"/>
    </xf>
    <xf numFmtId="0" fontId="14" fillId="0" borderId="60" xfId="0" applyFont="1" applyBorder="1" applyAlignment="1">
      <alignment horizontal="center"/>
    </xf>
    <xf numFmtId="0" fontId="2" fillId="9" borderId="17" xfId="0" applyFont="1" applyFill="1" applyBorder="1" applyAlignment="1">
      <alignment horizontal="right"/>
    </xf>
    <xf numFmtId="0" fontId="3" fillId="9" borderId="17" xfId="0" applyFont="1" applyFill="1" applyBorder="1" applyAlignment="1">
      <alignment horizontal="right"/>
    </xf>
    <xf numFmtId="0" fontId="7" fillId="3" borderId="17" xfId="0" applyFont="1" applyFill="1" applyBorder="1" applyAlignment="1" applyProtection="1">
      <alignment horizontal="center"/>
      <protection locked="0"/>
    </xf>
    <xf numFmtId="0" fontId="13" fillId="3" borderId="17" xfId="0" applyFont="1" applyFill="1" applyBorder="1" applyProtection="1">
      <protection locked="0"/>
    </xf>
    <xf numFmtId="0" fontId="7" fillId="4" borderId="36" xfId="0" applyFont="1" applyFill="1" applyBorder="1" applyAlignment="1" applyProtection="1">
      <alignment horizontal="center"/>
      <protection locked="0"/>
    </xf>
    <xf numFmtId="0" fontId="0" fillId="4" borderId="37" xfId="0" applyFill="1" applyBorder="1" applyAlignment="1" applyProtection="1">
      <alignment horizontal="center"/>
      <protection locked="0"/>
    </xf>
    <xf numFmtId="49" fontId="6" fillId="0" borderId="4" xfId="0" applyNumberFormat="1" applyFont="1" applyBorder="1" applyAlignment="1" applyProtection="1">
      <alignment horizontal="center" vertical="center" wrapText="1"/>
      <protection locked="0"/>
    </xf>
    <xf numFmtId="49" fontId="6" fillId="0" borderId="6" xfId="0" applyNumberFormat="1" applyFont="1" applyBorder="1" applyAlignment="1" applyProtection="1">
      <alignment horizontal="center" vertical="center" wrapText="1"/>
      <protection locked="0"/>
    </xf>
    <xf numFmtId="0" fontId="7" fillId="4" borderId="38" xfId="0" applyFont="1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8" fillId="2" borderId="73" xfId="0" applyFont="1" applyFill="1" applyBorder="1" applyAlignment="1">
      <alignment horizontal="right"/>
    </xf>
    <xf numFmtId="0" fontId="8" fillId="2" borderId="74" xfId="0" applyFont="1" applyFill="1" applyBorder="1" applyAlignment="1">
      <alignment horizontal="right"/>
    </xf>
    <xf numFmtId="0" fontId="14" fillId="0" borderId="46" xfId="0" applyFont="1" applyBorder="1" applyProtection="1">
      <protection locked="0"/>
    </xf>
    <xf numFmtId="0" fontId="14" fillId="0" borderId="47" xfId="0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14" fillId="0" borderId="3" xfId="0" applyFont="1" applyBorder="1" applyProtection="1">
      <protection locked="0"/>
    </xf>
    <xf numFmtId="49" fontId="6" fillId="0" borderId="45" xfId="0" applyNumberFormat="1" applyFont="1" applyBorder="1" applyAlignment="1" applyProtection="1">
      <alignment horizontal="center"/>
      <protection locked="0"/>
    </xf>
    <xf numFmtId="0" fontId="6" fillId="0" borderId="46" xfId="0" applyFont="1" applyBorder="1" applyProtection="1">
      <protection locked="0"/>
    </xf>
    <xf numFmtId="0" fontId="6" fillId="0" borderId="47" xfId="0" applyFont="1" applyBorder="1" applyProtection="1">
      <protection locked="0"/>
    </xf>
    <xf numFmtId="0" fontId="0" fillId="0" borderId="3" xfId="0" applyBorder="1"/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084028223220023E-2"/>
          <c:y val="0.12061717275081055"/>
          <c:w val="0.89416292495189231"/>
          <c:h val="0.70266515753669856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'Acceptance Test Curve'!$Y$2</c:f>
              <c:strCache>
                <c:ptCount val="1"/>
                <c:pt idx="0">
                  <c:v>Churn Rating</c:v>
                </c:pt>
              </c:strCache>
            </c:strRef>
          </c:tx>
          <c:spPr>
            <a:ln w="12700">
              <a:solidFill>
                <a:srgbClr val="9933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9933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xVal>
            <c:numRef>
              <c:f>'Acceptance Test Curve'!$L$9:$L$12</c:f>
              <c:numCache>
                <c:formatCode>#,##0</c:formatCode>
                <c:ptCount val="4"/>
                <c:pt idx="0">
                  <c:v>0</c:v>
                </c:pt>
                <c:pt idx="1">
                  <c:v>1522.0541578997327</c:v>
                </c:pt>
                <c:pt idx="2">
                  <c:v>2257.571148618732</c:v>
                </c:pt>
              </c:numCache>
            </c:numRef>
          </c:xVal>
          <c:yVal>
            <c:numRef>
              <c:f>'Acceptance Test Curve'!$P$9:$P$12</c:f>
              <c:numCache>
                <c:formatCode>0</c:formatCode>
                <c:ptCount val="4"/>
                <c:pt idx="0">
                  <c:v>140</c:v>
                </c:pt>
                <c:pt idx="1">
                  <c:v>111.37224940058634</c:v>
                </c:pt>
                <c:pt idx="2">
                  <c:v>84.018948681289942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B8-4856-8DB2-B1DDAC1D1D8B}"/>
            </c:ext>
          </c:extLst>
        </c:ser>
        <c:ser>
          <c:idx val="4"/>
          <c:order val="1"/>
          <c:tx>
            <c:strRef>
              <c:f>'Acceptance Test Curve'!$Y$3</c:f>
              <c:strCache>
                <c:ptCount val="1"/>
                <c:pt idx="0">
                  <c:v>100% Rating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'Acceptance Test Curve'!$Z$3</c:f>
              <c:numCache>
                <c:formatCode>General</c:formatCode>
                <c:ptCount val="1"/>
                <c:pt idx="0">
                  <c:v>1500</c:v>
                </c:pt>
              </c:numCache>
            </c:numRef>
          </c:xVal>
          <c:yVal>
            <c:numRef>
              <c:f>'Acceptance Test Curve'!$AA$3</c:f>
              <c:numCache>
                <c:formatCode>0</c:formatCode>
                <c:ptCount val="1"/>
                <c:pt idx="0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B8-4856-8DB2-B1DDAC1D1D8B}"/>
            </c:ext>
          </c:extLst>
        </c:ser>
        <c:ser>
          <c:idx val="5"/>
          <c:order val="2"/>
          <c:tx>
            <c:strRef>
              <c:f>'Acceptance Test Curve'!$Y$4</c:f>
              <c:strCache>
                <c:ptCount val="1"/>
                <c:pt idx="0">
                  <c:v>150% Rating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'Acceptance Test Curve'!$Z$4</c:f>
              <c:numCache>
                <c:formatCode>General</c:formatCode>
                <c:ptCount val="1"/>
                <c:pt idx="0">
                  <c:v>2250</c:v>
                </c:pt>
              </c:numCache>
            </c:numRef>
          </c:xVal>
          <c:yVal>
            <c:numRef>
              <c:f>'Acceptance Test Curve'!$AA$4</c:f>
              <c:numCache>
                <c:formatCode>General</c:formatCode>
                <c:ptCount val="1"/>
                <c:pt idx="0">
                  <c:v>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B8-4856-8DB2-B1DDAC1D1D8B}"/>
            </c:ext>
          </c:extLst>
        </c:ser>
        <c:ser>
          <c:idx val="0"/>
          <c:order val="3"/>
          <c:tx>
            <c:v>Pump Curve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'Acceptance Test Curve'!$L$9:$L$14</c:f>
              <c:numCache>
                <c:formatCode>#,##0</c:formatCode>
                <c:ptCount val="6"/>
                <c:pt idx="0">
                  <c:v>0</c:v>
                </c:pt>
                <c:pt idx="1">
                  <c:v>1522.0541578997327</c:v>
                </c:pt>
                <c:pt idx="2">
                  <c:v>2257.571148618732</c:v>
                </c:pt>
              </c:numCache>
            </c:numRef>
          </c:xVal>
          <c:yVal>
            <c:numRef>
              <c:f>'Acceptance Test Curve'!$P$9:$P$14</c:f>
              <c:numCache>
                <c:formatCode>0</c:formatCode>
                <c:ptCount val="6"/>
                <c:pt idx="0">
                  <c:v>140</c:v>
                </c:pt>
                <c:pt idx="1">
                  <c:v>111.37224940058634</c:v>
                </c:pt>
                <c:pt idx="2">
                  <c:v>84.018948681289942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B8-4856-8DB2-B1DDAC1D1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94136"/>
        <c:axId val="429094528"/>
      </c:scatterChart>
      <c:valAx>
        <c:axId val="4290941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Flow - (gpm)</a:t>
                </a:r>
              </a:p>
            </c:rich>
          </c:tx>
          <c:layout>
            <c:manualLayout>
              <c:xMode val="edge"/>
              <c:yMode val="edge"/>
              <c:x val="0.49839640795381657"/>
              <c:y val="0.8667606134883827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9094528"/>
        <c:crosses val="autoZero"/>
        <c:crossBetween val="midCat"/>
      </c:valAx>
      <c:valAx>
        <c:axId val="4290945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Net Pressure - (psi)</a:t>
                </a:r>
              </a:p>
            </c:rich>
          </c:tx>
          <c:layout>
            <c:manualLayout>
              <c:xMode val="edge"/>
              <c:yMode val="edge"/>
              <c:x val="5.9653624118024377E-2"/>
              <c:y val="0.385694447749684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9094136"/>
        <c:crosses val="autoZero"/>
        <c:crossBetween val="midCat"/>
        <c:majorUnit val="25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614496472097498"/>
          <c:y val="0.95511970515467415"/>
          <c:w val="0.29890955740859526"/>
          <c:h val="3.366060634906340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2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68580</xdr:rowOff>
    </xdr:from>
    <xdr:to>
      <xdr:col>21</xdr:col>
      <xdr:colOff>22860</xdr:colOff>
      <xdr:row>6</xdr:row>
      <xdr:rowOff>68580</xdr:rowOff>
    </xdr:to>
    <xdr:sp macro="" textlink="">
      <xdr:nvSpPr>
        <xdr:cNvPr id="8195" name="Line 3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SpPr>
          <a:spLocks noChangeShapeType="1"/>
        </xdr:cNvSpPr>
      </xdr:nvSpPr>
      <xdr:spPr bwMode="auto">
        <a:xfrm flipV="1">
          <a:off x="38100" y="1219200"/>
          <a:ext cx="100126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22860</xdr:colOff>
      <xdr:row>10</xdr:row>
      <xdr:rowOff>152400</xdr:rowOff>
    </xdr:from>
    <xdr:to>
      <xdr:col>21</xdr:col>
      <xdr:colOff>22860</xdr:colOff>
      <xdr:row>10</xdr:row>
      <xdr:rowOff>152400</xdr:rowOff>
    </xdr:to>
    <xdr:sp macro="" textlink="">
      <xdr:nvSpPr>
        <xdr:cNvPr id="8196" name="Line 4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SpPr>
          <a:spLocks noChangeShapeType="1"/>
        </xdr:cNvSpPr>
      </xdr:nvSpPr>
      <xdr:spPr bwMode="auto">
        <a:xfrm flipV="1">
          <a:off x="22860" y="2080260"/>
          <a:ext cx="100279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</xdr:row>
      <xdr:rowOff>0</xdr:rowOff>
    </xdr:from>
    <xdr:to>
      <xdr:col>20</xdr:col>
      <xdr:colOff>617220</xdr:colOff>
      <xdr:row>48</xdr:row>
      <xdr:rowOff>0</xdr:rowOff>
    </xdr:to>
    <xdr:sp macro="" textlink="">
      <xdr:nvSpPr>
        <xdr:cNvPr id="8198" name="Line 6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SpPr>
          <a:spLocks noChangeShapeType="1"/>
        </xdr:cNvSpPr>
      </xdr:nvSpPr>
      <xdr:spPr bwMode="auto">
        <a:xfrm flipV="1">
          <a:off x="0" y="9593580"/>
          <a:ext cx="100279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5</xdr:col>
      <xdr:colOff>440423</xdr:colOff>
      <xdr:row>5</xdr:row>
      <xdr:rowOff>96379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5F0CFAFE-8D46-4B3A-9581-4FD51C1D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76250" y="204107"/>
          <a:ext cx="2440673" cy="91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16</xdr:row>
      <xdr:rowOff>38100</xdr:rowOff>
    </xdr:from>
    <xdr:to>
      <xdr:col>22</xdr:col>
      <xdr:colOff>0</xdr:colOff>
      <xdr:row>47</xdr:row>
      <xdr:rowOff>144780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00000000-0008-0000-0100-000001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eerlesspump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4@6.14" TargetMode="External"/><Relationship Id="rId2" Type="http://schemas.openxmlformats.org/officeDocument/2006/relationships/hyperlink" Target="mailto:3@11" TargetMode="External"/><Relationship Id="rId1" Type="http://schemas.openxmlformats.org/officeDocument/2006/relationships/hyperlink" Target="mailto:3@5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U67"/>
  <sheetViews>
    <sheetView view="pageBreakPreview" topLeftCell="A18" zoomScale="130" zoomScaleNormal="85" zoomScaleSheetLayoutView="130" zoomScalePageLayoutView="85" workbookViewId="0">
      <selection activeCell="E33" sqref="E33:F33"/>
    </sheetView>
  </sheetViews>
  <sheetFormatPr defaultColWidth="9.21875" defaultRowHeight="15" x14ac:dyDescent="0.25"/>
  <cols>
    <col min="1" max="4" width="6.77734375" style="122" customWidth="1"/>
    <col min="5" max="5" width="8.21875" style="122" customWidth="1"/>
    <col min="6" max="6" width="8.77734375" style="122" customWidth="1"/>
    <col min="7" max="18" width="6.77734375" style="122" customWidth="1"/>
    <col min="19" max="19" width="8.44140625" style="122" customWidth="1"/>
    <col min="20" max="21" width="6.77734375" style="122" customWidth="1"/>
    <col min="22" max="16384" width="9.21875" style="122"/>
  </cols>
  <sheetData>
    <row r="2" spans="1:21" x14ac:dyDescent="0.25">
      <c r="A2" s="120"/>
      <c r="D2" s="120"/>
      <c r="G2" s="122" t="s">
        <v>176</v>
      </c>
    </row>
    <row r="3" spans="1:21" x14ac:dyDescent="0.25">
      <c r="A3" s="123"/>
      <c r="D3" s="123"/>
      <c r="G3" s="122" t="s">
        <v>177</v>
      </c>
    </row>
    <row r="4" spans="1:21" x14ac:dyDescent="0.25">
      <c r="A4" s="123"/>
      <c r="D4" s="123"/>
      <c r="G4" s="122" t="s">
        <v>178</v>
      </c>
    </row>
    <row r="5" spans="1:21" x14ac:dyDescent="0.25">
      <c r="A5" s="123"/>
      <c r="D5" s="123"/>
    </row>
    <row r="6" spans="1:21" ht="15.6" thickBot="1" x14ac:dyDescent="0.3">
      <c r="G6" s="124" t="s">
        <v>0</v>
      </c>
    </row>
    <row r="7" spans="1:21" x14ac:dyDescent="0.25">
      <c r="A7" s="125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7"/>
    </row>
    <row r="8" spans="1:21" ht="15.6" x14ac:dyDescent="0.3">
      <c r="A8" s="128" t="s">
        <v>1</v>
      </c>
      <c r="B8" s="129"/>
      <c r="D8" s="284" t="s">
        <v>182</v>
      </c>
      <c r="E8" s="284"/>
      <c r="F8" s="284"/>
      <c r="G8" s="284"/>
      <c r="H8" s="284"/>
      <c r="I8" s="284"/>
      <c r="J8" s="285"/>
      <c r="L8" s="207"/>
      <c r="M8" s="208"/>
      <c r="N8" s="277"/>
      <c r="O8" s="277"/>
      <c r="Q8" s="131" t="s">
        <v>2</v>
      </c>
      <c r="R8" s="275" t="s">
        <v>185</v>
      </c>
      <c r="S8" s="275"/>
      <c r="T8" s="275"/>
      <c r="U8" s="276"/>
    </row>
    <row r="9" spans="1:21" ht="15.6" x14ac:dyDescent="0.3">
      <c r="A9" s="128" t="s">
        <v>3</v>
      </c>
      <c r="D9" s="284" t="s">
        <v>183</v>
      </c>
      <c r="E9" s="284"/>
      <c r="F9" s="284"/>
      <c r="G9" s="284"/>
      <c r="H9" s="284"/>
      <c r="I9" s="284"/>
      <c r="J9" s="285"/>
      <c r="M9" s="131" t="s">
        <v>4</v>
      </c>
      <c r="N9" s="278">
        <v>9927226906</v>
      </c>
      <c r="O9" s="278"/>
      <c r="P9" s="129"/>
      <c r="R9" s="280" t="s">
        <v>184</v>
      </c>
      <c r="S9" s="280"/>
      <c r="T9" s="280"/>
      <c r="U9" s="281"/>
    </row>
    <row r="10" spans="1:21" x14ac:dyDescent="0.25">
      <c r="A10" s="128" t="s">
        <v>5</v>
      </c>
      <c r="B10" s="129"/>
      <c r="C10" s="130"/>
      <c r="D10" s="284" t="s">
        <v>184</v>
      </c>
      <c r="E10" s="284"/>
      <c r="F10" s="284"/>
      <c r="G10" s="284"/>
      <c r="H10" s="284"/>
      <c r="I10" s="284"/>
      <c r="J10" s="285"/>
      <c r="M10" s="131" t="s">
        <v>6</v>
      </c>
      <c r="N10" s="279">
        <v>46079</v>
      </c>
      <c r="O10" s="279"/>
      <c r="U10" s="132"/>
    </row>
    <row r="11" spans="1:21" x14ac:dyDescent="0.25">
      <c r="A11" s="128"/>
      <c r="B11" s="129"/>
      <c r="C11" s="130"/>
      <c r="D11" s="129"/>
      <c r="U11" s="132"/>
    </row>
    <row r="12" spans="1:21" ht="15.6" thickBot="1" x14ac:dyDescent="0.3">
      <c r="A12" s="133" t="s">
        <v>7</v>
      </c>
      <c r="U12" s="132"/>
    </row>
    <row r="13" spans="1:21" ht="16.2" thickBot="1" x14ac:dyDescent="0.35">
      <c r="A13" s="134" t="s">
        <v>8</v>
      </c>
      <c r="B13" s="135" t="s">
        <v>9</v>
      </c>
      <c r="C13" s="136"/>
      <c r="D13" s="137"/>
      <c r="E13" s="136"/>
      <c r="F13" s="138"/>
      <c r="G13" s="139"/>
      <c r="H13" s="139"/>
      <c r="I13" s="136"/>
      <c r="J13" s="136"/>
      <c r="K13" s="136"/>
      <c r="L13" s="136"/>
      <c r="M13" s="136"/>
      <c r="N13" s="136"/>
      <c r="O13" s="136"/>
      <c r="P13" s="136"/>
      <c r="Q13" s="125" t="s">
        <v>179</v>
      </c>
      <c r="R13" s="126"/>
      <c r="S13" s="224" t="s">
        <v>155</v>
      </c>
      <c r="T13" s="225"/>
      <c r="U13" s="226"/>
    </row>
    <row r="14" spans="1:21" ht="16.2" thickBot="1" x14ac:dyDescent="0.35">
      <c r="A14" s="141"/>
      <c r="D14" s="151"/>
      <c r="E14" s="151"/>
      <c r="F14" s="151"/>
      <c r="G14" s="151"/>
      <c r="Q14" s="220"/>
      <c r="R14" s="221"/>
      <c r="S14" s="221"/>
      <c r="T14" s="221"/>
      <c r="U14" s="222"/>
    </row>
    <row r="15" spans="1:21" ht="16.2" thickBot="1" x14ac:dyDescent="0.35">
      <c r="A15" s="125" t="s">
        <v>10</v>
      </c>
      <c r="B15" s="126"/>
      <c r="C15" s="126"/>
      <c r="D15" s="214"/>
      <c r="E15" s="215"/>
      <c r="F15" s="215"/>
      <c r="G15" s="215"/>
      <c r="H15" s="164"/>
      <c r="I15" s="125" t="s">
        <v>11</v>
      </c>
      <c r="J15" s="126"/>
      <c r="K15" s="126"/>
      <c r="L15" s="224" t="s">
        <v>155</v>
      </c>
      <c r="M15" s="225"/>
      <c r="N15" s="225"/>
      <c r="O15" s="226"/>
      <c r="P15" s="164"/>
      <c r="Q15" s="125" t="s">
        <v>180</v>
      </c>
      <c r="R15" s="126"/>
      <c r="S15" s="224" t="s">
        <v>155</v>
      </c>
      <c r="T15" s="225"/>
      <c r="U15" s="226"/>
    </row>
    <row r="16" spans="1:21" ht="16.2" thickBot="1" x14ac:dyDescent="0.35">
      <c r="A16" s="214"/>
      <c r="B16" s="215"/>
      <c r="C16" s="215"/>
      <c r="D16" s="215"/>
      <c r="E16" s="142" t="s">
        <v>12</v>
      </c>
      <c r="F16" s="282"/>
      <c r="G16" s="283"/>
      <c r="I16" s="214"/>
      <c r="J16" s="215"/>
      <c r="K16" s="215"/>
      <c r="L16" s="215"/>
      <c r="M16" s="121" t="s">
        <v>12</v>
      </c>
      <c r="N16" s="320" t="s">
        <v>156</v>
      </c>
      <c r="O16" s="321"/>
      <c r="Q16" s="220"/>
      <c r="R16" s="221"/>
      <c r="S16" s="221"/>
      <c r="T16" s="221"/>
      <c r="U16" s="223"/>
    </row>
    <row r="17" spans="1:21" ht="16.2" thickBot="1" x14ac:dyDescent="0.35">
      <c r="A17" s="125" t="s">
        <v>13</v>
      </c>
      <c r="B17" s="126"/>
      <c r="C17" s="126"/>
      <c r="D17" s="126"/>
      <c r="E17" s="126"/>
      <c r="F17" s="126" t="s">
        <v>205</v>
      </c>
      <c r="G17" s="127"/>
      <c r="I17" s="143" t="s">
        <v>14</v>
      </c>
      <c r="J17" s="144"/>
      <c r="K17" s="144"/>
      <c r="L17" s="144"/>
      <c r="M17" s="145"/>
      <c r="N17" s="227">
        <v>160</v>
      </c>
      <c r="O17" s="228"/>
      <c r="P17" s="126"/>
      <c r="Q17" s="143" t="s">
        <v>15</v>
      </c>
      <c r="R17" s="144"/>
      <c r="S17" s="145"/>
      <c r="T17" s="227">
        <v>6</v>
      </c>
      <c r="U17" s="228"/>
    </row>
    <row r="18" spans="1:21" ht="16.2" thickBot="1" x14ac:dyDescent="0.35">
      <c r="A18" s="214" t="s">
        <v>206</v>
      </c>
      <c r="B18" s="215"/>
      <c r="C18" s="215"/>
      <c r="D18" s="215"/>
      <c r="E18" s="142" t="s">
        <v>12</v>
      </c>
      <c r="F18" s="282" t="s">
        <v>207</v>
      </c>
      <c r="G18" s="283"/>
      <c r="I18" s="146" t="s">
        <v>16</v>
      </c>
      <c r="J18" s="147"/>
      <c r="K18" s="147"/>
      <c r="L18" s="147"/>
      <c r="M18" s="148"/>
      <c r="N18" s="227">
        <v>170</v>
      </c>
      <c r="O18" s="228"/>
      <c r="Q18" s="146" t="s">
        <v>204</v>
      </c>
      <c r="R18" s="147"/>
      <c r="S18" s="148"/>
      <c r="T18" s="227">
        <v>6</v>
      </c>
      <c r="U18" s="228"/>
    </row>
    <row r="19" spans="1:21" ht="16.2" thickBot="1" x14ac:dyDescent="0.35">
      <c r="A19" s="125" t="s">
        <v>17</v>
      </c>
      <c r="B19" s="126"/>
      <c r="C19" s="126"/>
      <c r="D19" s="126"/>
      <c r="E19" s="311" t="s">
        <v>208</v>
      </c>
      <c r="F19" s="312"/>
      <c r="G19" s="313"/>
      <c r="H19" s="149"/>
      <c r="I19" s="146" t="s">
        <v>18</v>
      </c>
      <c r="J19" s="147"/>
      <c r="K19" s="147"/>
      <c r="L19" s="147"/>
      <c r="M19" s="148"/>
      <c r="N19" s="227">
        <v>150</v>
      </c>
      <c r="O19" s="228"/>
      <c r="Q19" s="146" t="s">
        <v>19</v>
      </c>
      <c r="R19" s="147"/>
      <c r="S19" s="148"/>
      <c r="T19" s="227" t="s">
        <v>198</v>
      </c>
      <c r="U19" s="228"/>
    </row>
    <row r="20" spans="1:21" ht="16.2" thickBot="1" x14ac:dyDescent="0.35">
      <c r="A20" s="214" t="s">
        <v>209</v>
      </c>
      <c r="B20" s="215"/>
      <c r="C20" s="215"/>
      <c r="D20" s="215"/>
      <c r="E20" s="142" t="s">
        <v>12</v>
      </c>
      <c r="F20" s="282"/>
      <c r="G20" s="283"/>
      <c r="H20" s="149"/>
      <c r="I20" s="146" t="s">
        <v>20</v>
      </c>
      <c r="J20" s="147"/>
      <c r="K20" s="147"/>
      <c r="L20" s="147"/>
      <c r="M20" s="148"/>
      <c r="N20" s="227">
        <v>160</v>
      </c>
      <c r="O20" s="228"/>
      <c r="Q20" s="146" t="s">
        <v>21</v>
      </c>
      <c r="R20" s="147"/>
      <c r="S20" s="148"/>
      <c r="T20" s="218" t="s">
        <v>198</v>
      </c>
      <c r="U20" s="219" t="s">
        <v>22</v>
      </c>
    </row>
    <row r="21" spans="1:21" ht="16.2" thickBot="1" x14ac:dyDescent="0.35">
      <c r="A21" s="125" t="s">
        <v>23</v>
      </c>
      <c r="B21" s="126"/>
      <c r="C21" s="126"/>
      <c r="D21" s="126"/>
      <c r="E21" s="314"/>
      <c r="F21" s="314"/>
      <c r="G21" s="315"/>
      <c r="H21" s="149"/>
      <c r="I21" s="146" t="s">
        <v>24</v>
      </c>
      <c r="J21" s="147"/>
      <c r="K21" s="147"/>
      <c r="L21" s="147"/>
      <c r="M21" s="148"/>
      <c r="N21" s="227" t="s">
        <v>203</v>
      </c>
      <c r="O21" s="228" t="s">
        <v>22</v>
      </c>
      <c r="Q21" s="146" t="s">
        <v>25</v>
      </c>
      <c r="R21" s="147"/>
      <c r="S21" s="148"/>
      <c r="T21" s="216">
        <v>8</v>
      </c>
      <c r="U21" s="217"/>
    </row>
    <row r="22" spans="1:21" ht="16.2" thickBot="1" x14ac:dyDescent="0.35">
      <c r="A22" s="214"/>
      <c r="B22" s="215"/>
      <c r="C22" s="215"/>
      <c r="D22" s="215"/>
      <c r="E22" s="142" t="s">
        <v>12</v>
      </c>
      <c r="F22" s="282"/>
      <c r="G22" s="283"/>
      <c r="H22" s="149"/>
      <c r="I22" s="150" t="s">
        <v>26</v>
      </c>
      <c r="J22" s="151"/>
      <c r="K22" s="151"/>
      <c r="L22" s="151"/>
      <c r="M22" s="152"/>
      <c r="N22" s="237" t="s">
        <v>203</v>
      </c>
      <c r="O22" s="238" t="s">
        <v>22</v>
      </c>
      <c r="P22" s="151"/>
      <c r="Q22" s="150" t="s">
        <v>27</v>
      </c>
      <c r="R22" s="151"/>
      <c r="S22" s="152"/>
      <c r="T22" s="216">
        <v>6</v>
      </c>
      <c r="U22" s="217"/>
    </row>
    <row r="23" spans="1:21" ht="15.6" thickBot="1" x14ac:dyDescent="0.3">
      <c r="A23" s="141"/>
      <c r="U23" s="132"/>
    </row>
    <row r="24" spans="1:21" ht="16.2" thickBot="1" x14ac:dyDescent="0.35">
      <c r="A24" s="153"/>
      <c r="B24" s="154"/>
      <c r="C24" s="155" t="s">
        <v>28</v>
      </c>
      <c r="D24" s="154"/>
      <c r="E24" s="156"/>
      <c r="F24" s="156"/>
      <c r="G24" s="153"/>
      <c r="H24" s="154"/>
      <c r="I24" s="154"/>
      <c r="J24" s="155" t="s">
        <v>29</v>
      </c>
      <c r="K24" s="154"/>
      <c r="L24" s="154"/>
      <c r="M24" s="154"/>
      <c r="N24" s="153"/>
      <c r="O24" s="154"/>
      <c r="P24" s="155" t="s">
        <v>30</v>
      </c>
      <c r="Q24" s="154"/>
      <c r="R24" s="154"/>
      <c r="S24" s="154"/>
      <c r="T24" s="154"/>
      <c r="U24" s="157"/>
    </row>
    <row r="25" spans="1:21" ht="16.2" thickBot="1" x14ac:dyDescent="0.35">
      <c r="A25" s="143" t="s">
        <v>31</v>
      </c>
      <c r="B25" s="144"/>
      <c r="C25" s="144"/>
      <c r="D25" s="144"/>
      <c r="E25" s="294" t="s">
        <v>186</v>
      </c>
      <c r="F25" s="295"/>
      <c r="G25" s="144" t="s">
        <v>32</v>
      </c>
      <c r="H25" s="144"/>
      <c r="I25" s="144"/>
      <c r="J25" s="145"/>
      <c r="K25" s="234" t="s">
        <v>190</v>
      </c>
      <c r="L25" s="235"/>
      <c r="M25" s="236"/>
      <c r="N25" s="143" t="s">
        <v>33</v>
      </c>
      <c r="O25" s="144"/>
      <c r="P25" s="144"/>
      <c r="Q25" s="145"/>
      <c r="R25" s="234" t="s">
        <v>190</v>
      </c>
      <c r="S25" s="235"/>
      <c r="T25" s="235"/>
      <c r="U25" s="236"/>
    </row>
    <row r="26" spans="1:21" ht="16.2" thickBot="1" x14ac:dyDescent="0.35">
      <c r="A26" s="146" t="s">
        <v>34</v>
      </c>
      <c r="B26" s="147"/>
      <c r="C26" s="147"/>
      <c r="D26" s="147"/>
      <c r="E26" s="234" t="s">
        <v>187</v>
      </c>
      <c r="F26" s="236"/>
      <c r="G26" s="147" t="s">
        <v>35</v>
      </c>
      <c r="H26" s="147"/>
      <c r="I26" s="147"/>
      <c r="J26" s="148"/>
      <c r="K26" s="234" t="s">
        <v>191</v>
      </c>
      <c r="L26" s="235"/>
      <c r="M26" s="236"/>
      <c r="N26" s="146" t="s">
        <v>36</v>
      </c>
      <c r="O26" s="147"/>
      <c r="P26" s="147"/>
      <c r="Q26" s="148"/>
      <c r="R26" s="224" t="s">
        <v>192</v>
      </c>
      <c r="S26" s="225"/>
      <c r="T26" s="225"/>
      <c r="U26" s="226"/>
    </row>
    <row r="27" spans="1:21" ht="16.2" thickBot="1" x14ac:dyDescent="0.35">
      <c r="A27" s="146" t="s">
        <v>37</v>
      </c>
      <c r="B27" s="147"/>
      <c r="C27" s="147"/>
      <c r="D27" s="147"/>
      <c r="E27" s="301">
        <v>50028220</v>
      </c>
      <c r="F27" s="302"/>
      <c r="G27" s="147" t="s">
        <v>38</v>
      </c>
      <c r="H27" s="147"/>
      <c r="I27" s="147"/>
      <c r="J27" s="148"/>
      <c r="K27" s="317">
        <v>11166711194</v>
      </c>
      <c r="L27" s="318"/>
      <c r="M27" s="319"/>
      <c r="N27" s="146" t="s">
        <v>39</v>
      </c>
      <c r="O27" s="147"/>
      <c r="P27" s="147"/>
      <c r="Q27" s="148"/>
      <c r="R27" s="298" t="s">
        <v>193</v>
      </c>
      <c r="S27" s="299"/>
      <c r="T27" s="299"/>
      <c r="U27" s="300"/>
    </row>
    <row r="28" spans="1:21" ht="16.2" thickBot="1" x14ac:dyDescent="0.35">
      <c r="A28" s="146" t="s">
        <v>40</v>
      </c>
      <c r="B28" s="147"/>
      <c r="C28" s="147"/>
      <c r="D28" s="147"/>
      <c r="E28" s="303" t="s">
        <v>188</v>
      </c>
      <c r="F28" s="304"/>
      <c r="G28" s="147" t="s">
        <v>41</v>
      </c>
      <c r="H28" s="147"/>
      <c r="I28" s="147"/>
      <c r="J28" s="148"/>
      <c r="K28" s="231" t="s">
        <v>194</v>
      </c>
      <c r="L28" s="232"/>
      <c r="M28" s="233"/>
      <c r="N28" s="146" t="s">
        <v>42</v>
      </c>
      <c r="O28" s="147"/>
      <c r="P28" s="147"/>
      <c r="Q28" s="148"/>
      <c r="R28" s="231" t="s">
        <v>197</v>
      </c>
      <c r="S28" s="232"/>
      <c r="T28" s="232"/>
      <c r="U28" s="233"/>
    </row>
    <row r="29" spans="1:21" ht="16.2" thickBot="1" x14ac:dyDescent="0.35">
      <c r="A29" s="146" t="s">
        <v>43</v>
      </c>
      <c r="B29" s="147"/>
      <c r="C29" s="147"/>
      <c r="D29" s="147"/>
      <c r="E29" s="309">
        <v>1500</v>
      </c>
      <c r="F29" s="310"/>
      <c r="G29" s="147" t="s">
        <v>44</v>
      </c>
      <c r="H29" s="147"/>
      <c r="I29" s="147"/>
      <c r="J29" s="148"/>
      <c r="K29" s="231">
        <v>125</v>
      </c>
      <c r="L29" s="232"/>
      <c r="M29" s="233"/>
      <c r="N29" s="146" t="s">
        <v>45</v>
      </c>
      <c r="O29" s="147"/>
      <c r="P29" s="147"/>
      <c r="Q29" s="148"/>
      <c r="R29" s="245">
        <v>125</v>
      </c>
      <c r="S29" s="246"/>
      <c r="T29" s="246"/>
      <c r="U29" s="247"/>
    </row>
    <row r="30" spans="1:21" ht="16.2" thickBot="1" x14ac:dyDescent="0.35">
      <c r="A30" s="146" t="s">
        <v>46</v>
      </c>
      <c r="B30" s="147"/>
      <c r="C30" s="147"/>
      <c r="D30" s="147"/>
      <c r="E30" s="309">
        <v>110</v>
      </c>
      <c r="F30" s="310"/>
      <c r="G30" s="147" t="s">
        <v>47</v>
      </c>
      <c r="H30" s="147"/>
      <c r="I30" s="147"/>
      <c r="J30" s="148"/>
      <c r="K30" s="231">
        <v>3545</v>
      </c>
      <c r="L30" s="232"/>
      <c r="M30" s="233"/>
      <c r="N30" s="146" t="s">
        <v>48</v>
      </c>
      <c r="O30" s="147"/>
      <c r="P30" s="147"/>
      <c r="Q30" s="148"/>
      <c r="R30" s="245">
        <v>460</v>
      </c>
      <c r="S30" s="246"/>
      <c r="T30" s="246"/>
      <c r="U30" s="247"/>
    </row>
    <row r="31" spans="1:21" ht="16.2" thickBot="1" x14ac:dyDescent="0.35">
      <c r="A31" s="146" t="s">
        <v>49</v>
      </c>
      <c r="B31" s="147"/>
      <c r="C31" s="147"/>
      <c r="D31" s="147"/>
      <c r="E31" s="286">
        <v>3550</v>
      </c>
      <c r="F31" s="287"/>
      <c r="G31" s="147" t="s">
        <v>50</v>
      </c>
      <c r="H31" s="147"/>
      <c r="I31" s="147"/>
      <c r="J31" s="148"/>
      <c r="K31" s="234" t="s">
        <v>195</v>
      </c>
      <c r="L31" s="235"/>
      <c r="M31" s="236"/>
      <c r="N31" s="146" t="s">
        <v>51</v>
      </c>
      <c r="O31" s="147"/>
      <c r="P31" s="147"/>
      <c r="Q31" s="148"/>
      <c r="R31" s="245">
        <v>3</v>
      </c>
      <c r="S31" s="246"/>
      <c r="T31" s="246"/>
      <c r="U31" s="247"/>
    </row>
    <row r="32" spans="1:21" ht="16.2" thickBot="1" x14ac:dyDescent="0.35">
      <c r="A32" s="146" t="s">
        <v>52</v>
      </c>
      <c r="B32" s="147"/>
      <c r="C32" s="147"/>
      <c r="D32" s="147"/>
      <c r="E32" s="237">
        <v>138</v>
      </c>
      <c r="F32" s="316"/>
      <c r="G32" s="147" t="s">
        <v>53</v>
      </c>
      <c r="H32" s="147"/>
      <c r="I32" s="147"/>
      <c r="J32" s="148"/>
      <c r="K32" s="239" t="s">
        <v>196</v>
      </c>
      <c r="L32" s="240"/>
      <c r="M32" s="241"/>
      <c r="N32" s="146" t="s">
        <v>54</v>
      </c>
      <c r="O32" s="147"/>
      <c r="P32" s="147"/>
      <c r="Q32" s="148"/>
      <c r="R32" s="322">
        <v>60</v>
      </c>
      <c r="S32" s="323"/>
      <c r="T32" s="323"/>
      <c r="U32" s="324"/>
    </row>
    <row r="33" spans="1:21" ht="16.2" thickBot="1" x14ac:dyDescent="0.35">
      <c r="A33" s="291" t="s">
        <v>55</v>
      </c>
      <c r="B33" s="292"/>
      <c r="C33" s="292"/>
      <c r="D33" s="293"/>
      <c r="E33" s="229">
        <v>80</v>
      </c>
      <c r="F33" s="230"/>
      <c r="G33" s="147" t="s">
        <v>56</v>
      </c>
      <c r="H33" s="147"/>
      <c r="I33" s="147"/>
      <c r="J33" s="148"/>
      <c r="K33" s="231">
        <v>3</v>
      </c>
      <c r="L33" s="232"/>
      <c r="M33" s="233"/>
      <c r="N33" s="146" t="s">
        <v>57</v>
      </c>
      <c r="O33" s="147"/>
      <c r="P33" s="147"/>
      <c r="Q33" s="148"/>
      <c r="R33" s="242"/>
      <c r="S33" s="243"/>
      <c r="T33" s="244"/>
      <c r="U33" s="238"/>
    </row>
    <row r="34" spans="1:21" ht="16.2" thickBot="1" x14ac:dyDescent="0.35">
      <c r="A34" s="158" t="s">
        <v>58</v>
      </c>
      <c r="B34" s="159"/>
      <c r="C34" s="159"/>
      <c r="D34" s="159"/>
      <c r="E34" s="307">
        <v>8.2899999999999991</v>
      </c>
      <c r="F34" s="308"/>
      <c r="G34" s="159" t="s">
        <v>59</v>
      </c>
      <c r="H34" s="159"/>
      <c r="I34" s="159"/>
      <c r="J34" s="160"/>
      <c r="K34" s="234">
        <v>60</v>
      </c>
      <c r="L34" s="235"/>
      <c r="M34" s="236"/>
      <c r="N34" s="158" t="s">
        <v>60</v>
      </c>
      <c r="O34" s="159"/>
      <c r="P34" s="159"/>
      <c r="Q34" s="160"/>
      <c r="R34" s="242" t="s">
        <v>198</v>
      </c>
      <c r="S34" s="243"/>
      <c r="T34" s="244"/>
      <c r="U34" s="238"/>
    </row>
    <row r="35" spans="1:21" ht="16.2" thickBot="1" x14ac:dyDescent="0.35">
      <c r="A35" s="296" t="s">
        <v>61</v>
      </c>
      <c r="B35" s="297"/>
      <c r="C35" s="297"/>
      <c r="D35" s="151"/>
      <c r="E35" s="305" t="s">
        <v>189</v>
      </c>
      <c r="F35" s="306"/>
      <c r="G35" s="151" t="s">
        <v>62</v>
      </c>
      <c r="H35" s="151"/>
      <c r="I35" s="151"/>
      <c r="J35" s="152"/>
      <c r="K35" s="239">
        <v>1.1499999999999999</v>
      </c>
      <c r="L35" s="240"/>
      <c r="M35" s="241"/>
      <c r="N35" s="150" t="s">
        <v>63</v>
      </c>
      <c r="O35" s="151"/>
      <c r="P35" s="151"/>
      <c r="Q35" s="152"/>
      <c r="R35" s="242" t="s">
        <v>198</v>
      </c>
      <c r="S35" s="243"/>
      <c r="T35" s="244"/>
      <c r="U35" s="238"/>
    </row>
    <row r="36" spans="1:21" x14ac:dyDescent="0.25">
      <c r="A36" s="141"/>
      <c r="U36" s="132"/>
    </row>
    <row r="37" spans="1:21" ht="15.6" x14ac:dyDescent="0.3">
      <c r="A37" s="134"/>
      <c r="B37" s="139" t="s">
        <v>64</v>
      </c>
      <c r="C37" s="136"/>
      <c r="D37" s="137"/>
      <c r="E37" s="136"/>
      <c r="F37" s="138"/>
      <c r="G37" s="139"/>
      <c r="H37" s="139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40"/>
    </row>
    <row r="38" spans="1:21" ht="15.6" thickBot="1" x14ac:dyDescent="0.3">
      <c r="A38" s="141"/>
      <c r="U38" s="132"/>
    </row>
    <row r="39" spans="1:21" ht="15.6" thickBot="1" x14ac:dyDescent="0.3">
      <c r="A39" s="125" t="s">
        <v>65</v>
      </c>
      <c r="B39" s="127"/>
      <c r="C39" s="125" t="s">
        <v>66</v>
      </c>
      <c r="D39" s="127"/>
      <c r="E39" s="125" t="s">
        <v>67</v>
      </c>
      <c r="F39" s="127"/>
      <c r="G39" s="125" t="s">
        <v>68</v>
      </c>
      <c r="H39" s="126"/>
      <c r="I39" s="125"/>
      <c r="J39" s="126"/>
      <c r="K39" s="126"/>
      <c r="L39" s="126" t="s">
        <v>69</v>
      </c>
      <c r="M39" s="126"/>
      <c r="N39" s="126"/>
      <c r="O39" s="126"/>
      <c r="P39" s="127"/>
      <c r="Q39" s="264" t="s">
        <v>70</v>
      </c>
      <c r="R39" s="265"/>
      <c r="S39" s="203" t="s">
        <v>71</v>
      </c>
      <c r="T39" s="161" t="s">
        <v>72</v>
      </c>
      <c r="U39" s="162" t="s">
        <v>73</v>
      </c>
    </row>
    <row r="40" spans="1:21" x14ac:dyDescent="0.25">
      <c r="A40" s="141" t="s">
        <v>74</v>
      </c>
      <c r="B40" s="132"/>
      <c r="C40" s="141" t="s">
        <v>75</v>
      </c>
      <c r="D40" s="132"/>
      <c r="E40" s="141" t="s">
        <v>76</v>
      </c>
      <c r="F40" s="132"/>
      <c r="G40" s="141" t="s">
        <v>77</v>
      </c>
      <c r="I40" s="163" t="s">
        <v>78</v>
      </c>
      <c r="J40" s="125"/>
      <c r="K40" s="126" t="s">
        <v>79</v>
      </c>
      <c r="L40" s="126"/>
      <c r="M40" s="126"/>
      <c r="N40" s="126"/>
      <c r="O40" s="126"/>
      <c r="P40" s="127"/>
      <c r="Q40" s="266" t="s">
        <v>80</v>
      </c>
      <c r="R40" s="267"/>
      <c r="S40" s="204" t="s">
        <v>81</v>
      </c>
      <c r="T40" s="132"/>
      <c r="U40" s="164"/>
    </row>
    <row r="41" spans="1:21" ht="15.6" thickBot="1" x14ac:dyDescent="0.3">
      <c r="A41" s="141"/>
      <c r="B41" s="132"/>
      <c r="C41" s="141" t="s">
        <v>82</v>
      </c>
      <c r="D41" s="132"/>
      <c r="E41" s="141" t="s">
        <v>83</v>
      </c>
      <c r="F41" s="132"/>
      <c r="G41" s="141" t="s">
        <v>83</v>
      </c>
      <c r="I41" s="164"/>
      <c r="J41" s="165" t="s">
        <v>84</v>
      </c>
      <c r="K41" s="166" t="s">
        <v>85</v>
      </c>
      <c r="L41" s="166" t="s">
        <v>86</v>
      </c>
      <c r="M41" s="166" t="s">
        <v>87</v>
      </c>
      <c r="N41" s="166" t="s">
        <v>88</v>
      </c>
      <c r="O41" s="166" t="s">
        <v>89</v>
      </c>
      <c r="P41" s="167" t="s">
        <v>90</v>
      </c>
      <c r="Q41" s="268"/>
      <c r="R41" s="269"/>
      <c r="S41" s="204" t="s">
        <v>91</v>
      </c>
      <c r="T41" s="132"/>
      <c r="U41" s="164"/>
    </row>
    <row r="42" spans="1:21" ht="15.6" x14ac:dyDescent="0.3">
      <c r="A42" s="168">
        <v>3574</v>
      </c>
      <c r="B42" s="169"/>
      <c r="C42" s="170">
        <v>52</v>
      </c>
      <c r="D42" s="205"/>
      <c r="E42" s="170">
        <v>192</v>
      </c>
      <c r="F42" s="169"/>
      <c r="G42" s="191">
        <f t="shared" ref="G42:G47" si="0">IF(E42="","",E42-C42)</f>
        <v>140</v>
      </c>
      <c r="H42" s="205"/>
      <c r="I42" s="171">
        <v>2.5</v>
      </c>
      <c r="J42" s="261" t="s">
        <v>92</v>
      </c>
      <c r="K42" s="262"/>
      <c r="L42" s="262"/>
      <c r="M42" s="262"/>
      <c r="N42" s="262"/>
      <c r="O42" s="262"/>
      <c r="P42" s="263"/>
      <c r="Q42" s="255">
        <v>0</v>
      </c>
      <c r="R42" s="256"/>
      <c r="S42" s="194">
        <v>0</v>
      </c>
      <c r="T42" s="172"/>
      <c r="U42" s="173"/>
    </row>
    <row r="43" spans="1:21" ht="15.6" x14ac:dyDescent="0.3">
      <c r="A43" s="174">
        <v>3560</v>
      </c>
      <c r="B43" s="175"/>
      <c r="C43" s="176">
        <v>34</v>
      </c>
      <c r="D43" s="206"/>
      <c r="E43" s="176">
        <v>144</v>
      </c>
      <c r="F43" s="175"/>
      <c r="G43" s="192">
        <f t="shared" si="0"/>
        <v>110</v>
      </c>
      <c r="H43" s="206"/>
      <c r="I43" s="177">
        <v>2.5</v>
      </c>
      <c r="J43" s="178">
        <v>5</v>
      </c>
      <c r="K43" s="178">
        <v>5</v>
      </c>
      <c r="L43" s="178">
        <v>5</v>
      </c>
      <c r="M43" s="178"/>
      <c r="N43" s="178"/>
      <c r="O43" s="178"/>
      <c r="P43" s="178"/>
      <c r="Q43" s="257">
        <f>IF(I43="","",'Acceptance Test Curve'!$L$10)</f>
        <v>1522.0541578997327</v>
      </c>
      <c r="R43" s="258"/>
      <c r="S43" s="195">
        <f>IF(I43="","",+Q43/$E$29)</f>
        <v>1.0147027719331552</v>
      </c>
      <c r="T43" s="178"/>
      <c r="U43" s="179"/>
    </row>
    <row r="44" spans="1:21" ht="15.6" x14ac:dyDescent="0.3">
      <c r="A44" s="174">
        <v>3555</v>
      </c>
      <c r="B44" s="175"/>
      <c r="C44" s="176">
        <v>15</v>
      </c>
      <c r="D44" s="206"/>
      <c r="E44" s="176">
        <v>96</v>
      </c>
      <c r="F44" s="175"/>
      <c r="G44" s="192">
        <f t="shared" si="0"/>
        <v>81</v>
      </c>
      <c r="H44" s="206"/>
      <c r="I44" s="177">
        <v>2.5</v>
      </c>
      <c r="J44" s="178">
        <v>11</v>
      </c>
      <c r="K44" s="178">
        <v>11</v>
      </c>
      <c r="L44" s="178">
        <v>11</v>
      </c>
      <c r="M44" s="178"/>
      <c r="N44" s="178"/>
      <c r="O44" s="178"/>
      <c r="P44" s="178"/>
      <c r="Q44" s="257">
        <f>IF(I44="","",'Acceptance Test Curve'!$L$11)</f>
        <v>2257.571148618732</v>
      </c>
      <c r="R44" s="258"/>
      <c r="S44" s="195">
        <f>IF(I44="","",+Q44/$E$29)</f>
        <v>1.5050474324124881</v>
      </c>
      <c r="T44" s="178"/>
      <c r="U44" s="179"/>
    </row>
    <row r="45" spans="1:21" ht="15.6" x14ac:dyDescent="0.3">
      <c r="A45" s="174"/>
      <c r="B45" s="175"/>
      <c r="C45" s="176"/>
      <c r="D45" s="206"/>
      <c r="E45" s="176"/>
      <c r="F45" s="175"/>
      <c r="G45" s="192" t="str">
        <f t="shared" si="0"/>
        <v/>
      </c>
      <c r="H45" s="206"/>
      <c r="I45" s="177">
        <v>2.5</v>
      </c>
      <c r="J45" s="178"/>
      <c r="K45" s="178"/>
      <c r="L45" s="178"/>
      <c r="M45" s="178"/>
      <c r="N45" s="178"/>
      <c r="O45" s="178"/>
      <c r="P45" s="178"/>
      <c r="Q45" s="257">
        <f>IF(I45="","",'Acceptance Test Curve'!$L$12)</f>
        <v>0</v>
      </c>
      <c r="R45" s="258"/>
      <c r="S45" s="195">
        <f>IF(I45="","",+Q45/$E$29)</f>
        <v>0</v>
      </c>
      <c r="T45" s="178"/>
      <c r="U45" s="179"/>
    </row>
    <row r="46" spans="1:21" s="136" customFormat="1" ht="15.6" x14ac:dyDescent="0.3">
      <c r="A46" s="180"/>
      <c r="B46" s="175"/>
      <c r="C46" s="181"/>
      <c r="D46" s="206"/>
      <c r="E46" s="181"/>
      <c r="F46" s="175"/>
      <c r="G46" s="192" t="str">
        <f t="shared" si="0"/>
        <v/>
      </c>
      <c r="H46" s="206"/>
      <c r="I46" s="177">
        <v>2.5</v>
      </c>
      <c r="J46" s="182"/>
      <c r="K46" s="182"/>
      <c r="L46" s="182"/>
      <c r="M46" s="182"/>
      <c r="N46" s="182"/>
      <c r="O46" s="182"/>
      <c r="P46" s="182"/>
      <c r="Q46" s="257">
        <f>IF(I46="","",'Acceptance Test Curve'!$L$13)</f>
        <v>0</v>
      </c>
      <c r="R46" s="258"/>
      <c r="S46" s="195">
        <f>IF(I46="","",+Q46/$E$29)</f>
        <v>0</v>
      </c>
      <c r="T46" s="182"/>
      <c r="U46" s="183"/>
    </row>
    <row r="47" spans="1:21" s="190" customFormat="1" ht="16.2" thickBot="1" x14ac:dyDescent="0.35">
      <c r="A47" s="184"/>
      <c r="B47" s="185"/>
      <c r="C47" s="186"/>
      <c r="D47" s="185"/>
      <c r="E47" s="186"/>
      <c r="F47" s="185"/>
      <c r="G47" s="193" t="str">
        <f t="shared" si="0"/>
        <v/>
      </c>
      <c r="H47" s="185"/>
      <c r="I47" s="187"/>
      <c r="J47" s="188"/>
      <c r="K47" s="188"/>
      <c r="L47" s="188"/>
      <c r="M47" s="188"/>
      <c r="N47" s="188"/>
      <c r="O47" s="188"/>
      <c r="P47" s="188"/>
      <c r="Q47" s="273" t="str">
        <f>IF(I47="","",'Acceptance Test Curve'!$L$14)</f>
        <v/>
      </c>
      <c r="R47" s="274"/>
      <c r="S47" s="196" t="str">
        <f>IF(I47="","",+Q47/$E$29)</f>
        <v/>
      </c>
      <c r="T47" s="188"/>
      <c r="U47" s="189"/>
    </row>
    <row r="48" spans="1:21" x14ac:dyDescent="0.25">
      <c r="A48" s="197" t="s">
        <v>93</v>
      </c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</row>
    <row r="49" spans="1:21" ht="15.6" thickBot="1" x14ac:dyDescent="0.3">
      <c r="A49" s="141"/>
      <c r="U49" s="132"/>
    </row>
    <row r="50" spans="1:21" ht="21.6" thickBot="1" x14ac:dyDescent="0.45">
      <c r="A50" s="288" t="s">
        <v>94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90"/>
    </row>
    <row r="51" spans="1:21" x14ac:dyDescent="0.25">
      <c r="A51" s="141"/>
      <c r="U51" s="132"/>
    </row>
    <row r="52" spans="1:21" x14ac:dyDescent="0.25">
      <c r="A52" s="141"/>
      <c r="E52" s="122" t="s">
        <v>95</v>
      </c>
      <c r="L52" s="122" t="s">
        <v>96</v>
      </c>
      <c r="S52" s="122" t="s">
        <v>97</v>
      </c>
      <c r="U52" s="132"/>
    </row>
    <row r="53" spans="1:21" x14ac:dyDescent="0.25">
      <c r="A53" s="270" t="s">
        <v>98</v>
      </c>
      <c r="B53" s="271"/>
      <c r="C53" s="271"/>
      <c r="D53" s="272"/>
      <c r="E53" s="248" t="s">
        <v>155</v>
      </c>
      <c r="F53" s="249"/>
      <c r="G53" s="249"/>
      <c r="H53" s="249"/>
      <c r="I53" s="249"/>
      <c r="J53" s="249"/>
      <c r="K53" s="259"/>
      <c r="L53" s="248"/>
      <c r="M53" s="249"/>
      <c r="N53" s="249"/>
      <c r="O53" s="249"/>
      <c r="P53" s="249"/>
      <c r="Q53" s="249"/>
      <c r="R53" s="259"/>
      <c r="S53" s="254">
        <v>46079</v>
      </c>
      <c r="T53" s="249"/>
      <c r="U53" s="250"/>
    </row>
    <row r="54" spans="1:21" x14ac:dyDescent="0.25">
      <c r="A54" s="270"/>
      <c r="B54" s="271"/>
      <c r="C54" s="271"/>
      <c r="D54" s="272"/>
      <c r="E54" s="251"/>
      <c r="F54" s="252"/>
      <c r="G54" s="252"/>
      <c r="H54" s="252"/>
      <c r="I54" s="252"/>
      <c r="J54" s="252"/>
      <c r="K54" s="260"/>
      <c r="L54" s="251"/>
      <c r="M54" s="252"/>
      <c r="N54" s="252"/>
      <c r="O54" s="252"/>
      <c r="P54" s="252"/>
      <c r="Q54" s="252"/>
      <c r="R54" s="260"/>
      <c r="S54" s="251"/>
      <c r="T54" s="252"/>
      <c r="U54" s="253"/>
    </row>
    <row r="55" spans="1:21" x14ac:dyDescent="0.25">
      <c r="A55" s="141"/>
      <c r="E55" s="122" t="s">
        <v>95</v>
      </c>
      <c r="L55" s="122" t="s">
        <v>96</v>
      </c>
      <c r="S55" s="122" t="s">
        <v>97</v>
      </c>
      <c r="U55" s="132"/>
    </row>
    <row r="56" spans="1:21" x14ac:dyDescent="0.25">
      <c r="A56" s="270" t="s">
        <v>17</v>
      </c>
      <c r="B56" s="271"/>
      <c r="C56" s="271"/>
      <c r="D56" s="272"/>
      <c r="E56" s="248"/>
      <c r="F56" s="249"/>
      <c r="G56" s="249"/>
      <c r="H56" s="249"/>
      <c r="I56" s="249"/>
      <c r="J56" s="249"/>
      <c r="K56" s="259"/>
      <c r="L56" s="248"/>
      <c r="M56" s="249"/>
      <c r="N56" s="249"/>
      <c r="O56" s="249"/>
      <c r="P56" s="249"/>
      <c r="Q56" s="249"/>
      <c r="R56" s="259"/>
      <c r="S56" s="248"/>
      <c r="T56" s="249"/>
      <c r="U56" s="250"/>
    </row>
    <row r="57" spans="1:21" x14ac:dyDescent="0.25">
      <c r="A57" s="270"/>
      <c r="B57" s="271"/>
      <c r="C57" s="271"/>
      <c r="D57" s="272"/>
      <c r="E57" s="251"/>
      <c r="F57" s="252"/>
      <c r="G57" s="252"/>
      <c r="H57" s="252"/>
      <c r="I57" s="252"/>
      <c r="J57" s="252"/>
      <c r="K57" s="260"/>
      <c r="L57" s="251"/>
      <c r="M57" s="252"/>
      <c r="N57" s="252"/>
      <c r="O57" s="252"/>
      <c r="P57" s="252"/>
      <c r="Q57" s="252"/>
      <c r="R57" s="260"/>
      <c r="S57" s="251"/>
      <c r="T57" s="252"/>
      <c r="U57" s="253"/>
    </row>
    <row r="58" spans="1:21" x14ac:dyDescent="0.25">
      <c r="A58" s="141"/>
      <c r="E58" s="122" t="s">
        <v>95</v>
      </c>
      <c r="L58" s="122" t="s">
        <v>96</v>
      </c>
      <c r="S58" s="122" t="s">
        <v>97</v>
      </c>
      <c r="U58" s="132"/>
    </row>
    <row r="59" spans="1:21" x14ac:dyDescent="0.25">
      <c r="A59" s="270" t="s">
        <v>10</v>
      </c>
      <c r="B59" s="271"/>
      <c r="C59" s="271"/>
      <c r="D59" s="272"/>
      <c r="E59" s="248"/>
      <c r="F59" s="249"/>
      <c r="G59" s="249"/>
      <c r="H59" s="249"/>
      <c r="I59" s="249"/>
      <c r="J59" s="249"/>
      <c r="K59" s="259"/>
      <c r="L59" s="248"/>
      <c r="M59" s="249"/>
      <c r="N59" s="249"/>
      <c r="O59" s="249"/>
      <c r="P59" s="249"/>
      <c r="Q59" s="249"/>
      <c r="R59" s="259"/>
      <c r="S59" s="248"/>
      <c r="T59" s="249"/>
      <c r="U59" s="250"/>
    </row>
    <row r="60" spans="1:21" x14ac:dyDescent="0.25">
      <c r="A60" s="270"/>
      <c r="B60" s="271"/>
      <c r="C60" s="271"/>
      <c r="D60" s="272"/>
      <c r="E60" s="251"/>
      <c r="F60" s="252"/>
      <c r="G60" s="252"/>
      <c r="H60" s="252"/>
      <c r="I60" s="252"/>
      <c r="J60" s="252"/>
      <c r="K60" s="260"/>
      <c r="L60" s="251"/>
      <c r="M60" s="252"/>
      <c r="N60" s="252"/>
      <c r="O60" s="252"/>
      <c r="P60" s="252"/>
      <c r="Q60" s="252"/>
      <c r="R60" s="260"/>
      <c r="S60" s="251"/>
      <c r="T60" s="252"/>
      <c r="U60" s="253"/>
    </row>
    <row r="61" spans="1:21" x14ac:dyDescent="0.25">
      <c r="A61" s="141"/>
      <c r="E61" s="122" t="s">
        <v>95</v>
      </c>
      <c r="L61" s="122" t="s">
        <v>96</v>
      </c>
      <c r="S61" s="122" t="s">
        <v>97</v>
      </c>
      <c r="U61" s="132"/>
    </row>
    <row r="62" spans="1:21" x14ac:dyDescent="0.25">
      <c r="A62" s="270" t="s">
        <v>99</v>
      </c>
      <c r="B62" s="271"/>
      <c r="C62" s="271"/>
      <c r="D62" s="272"/>
      <c r="E62" s="248"/>
      <c r="F62" s="249"/>
      <c r="G62" s="249"/>
      <c r="H62" s="249"/>
      <c r="I62" s="249"/>
      <c r="J62" s="249"/>
      <c r="K62" s="259"/>
      <c r="L62" s="248"/>
      <c r="M62" s="249"/>
      <c r="N62" s="249"/>
      <c r="O62" s="249"/>
      <c r="P62" s="249"/>
      <c r="Q62" s="249"/>
      <c r="R62" s="259"/>
      <c r="S62" s="248"/>
      <c r="T62" s="249"/>
      <c r="U62" s="250"/>
    </row>
    <row r="63" spans="1:21" x14ac:dyDescent="0.25">
      <c r="A63" s="270"/>
      <c r="B63" s="271"/>
      <c r="C63" s="271"/>
      <c r="D63" s="272"/>
      <c r="E63" s="251"/>
      <c r="F63" s="252"/>
      <c r="G63" s="252"/>
      <c r="H63" s="252"/>
      <c r="I63" s="252"/>
      <c r="J63" s="252"/>
      <c r="K63" s="260"/>
      <c r="L63" s="251"/>
      <c r="M63" s="252"/>
      <c r="N63" s="252"/>
      <c r="O63" s="252"/>
      <c r="P63" s="252"/>
      <c r="Q63" s="252"/>
      <c r="R63" s="260"/>
      <c r="S63" s="251"/>
      <c r="T63" s="252"/>
      <c r="U63" s="253"/>
    </row>
    <row r="64" spans="1:21" x14ac:dyDescent="0.25">
      <c r="A64" s="141"/>
      <c r="E64" s="122" t="s">
        <v>95</v>
      </c>
      <c r="L64" s="122" t="s">
        <v>96</v>
      </c>
      <c r="S64" s="122" t="s">
        <v>97</v>
      </c>
      <c r="U64" s="132"/>
    </row>
    <row r="65" spans="1:21" x14ac:dyDescent="0.25">
      <c r="A65" s="270" t="s">
        <v>23</v>
      </c>
      <c r="B65" s="271"/>
      <c r="C65" s="271"/>
      <c r="D65" s="272"/>
      <c r="E65" s="248"/>
      <c r="F65" s="249"/>
      <c r="G65" s="249"/>
      <c r="H65" s="249"/>
      <c r="I65" s="249"/>
      <c r="J65" s="249"/>
      <c r="K65" s="259"/>
      <c r="L65" s="248"/>
      <c r="M65" s="249"/>
      <c r="N65" s="249"/>
      <c r="O65" s="249"/>
      <c r="P65" s="249"/>
      <c r="Q65" s="249"/>
      <c r="R65" s="259"/>
      <c r="S65" s="248"/>
      <c r="T65" s="249"/>
      <c r="U65" s="250"/>
    </row>
    <row r="66" spans="1:21" x14ac:dyDescent="0.25">
      <c r="A66" s="270"/>
      <c r="B66" s="271"/>
      <c r="C66" s="271"/>
      <c r="D66" s="272"/>
      <c r="E66" s="251"/>
      <c r="F66" s="252"/>
      <c r="G66" s="252"/>
      <c r="H66" s="252"/>
      <c r="I66" s="252"/>
      <c r="J66" s="252"/>
      <c r="K66" s="260"/>
      <c r="L66" s="251"/>
      <c r="M66" s="252"/>
      <c r="N66" s="252"/>
      <c r="O66" s="252"/>
      <c r="P66" s="252"/>
      <c r="Q66" s="252"/>
      <c r="R66" s="260"/>
      <c r="S66" s="251"/>
      <c r="T66" s="252"/>
      <c r="U66" s="253"/>
    </row>
    <row r="67" spans="1:21" ht="15.6" thickBot="1" x14ac:dyDescent="0.3">
      <c r="A67" s="150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2"/>
    </row>
  </sheetData>
  <mergeCells count="104">
    <mergeCell ref="D9:J9"/>
    <mergeCell ref="D10:J10"/>
    <mergeCell ref="A35:C35"/>
    <mergeCell ref="R27:U27"/>
    <mergeCell ref="K28:M28"/>
    <mergeCell ref="E27:F27"/>
    <mergeCell ref="E28:F28"/>
    <mergeCell ref="E35:F35"/>
    <mergeCell ref="E34:F34"/>
    <mergeCell ref="E29:F29"/>
    <mergeCell ref="E19:G19"/>
    <mergeCell ref="E21:G21"/>
    <mergeCell ref="E32:F32"/>
    <mergeCell ref="K27:M27"/>
    <mergeCell ref="K29:M29"/>
    <mergeCell ref="K30:M30"/>
    <mergeCell ref="I16:L16"/>
    <mergeCell ref="N16:O16"/>
    <mergeCell ref="K25:M25"/>
    <mergeCell ref="K26:M26"/>
    <mergeCell ref="K31:M31"/>
    <mergeCell ref="R32:U32"/>
    <mergeCell ref="S13:U13"/>
    <mergeCell ref="E30:F30"/>
    <mergeCell ref="A65:D66"/>
    <mergeCell ref="E53:K54"/>
    <mergeCell ref="R8:U8"/>
    <mergeCell ref="A16:D16"/>
    <mergeCell ref="N8:O8"/>
    <mergeCell ref="N9:O9"/>
    <mergeCell ref="N10:O10"/>
    <mergeCell ref="R9:U9"/>
    <mergeCell ref="F16:G16"/>
    <mergeCell ref="D8:J8"/>
    <mergeCell ref="E31:F31"/>
    <mergeCell ref="A50:U50"/>
    <mergeCell ref="S62:U63"/>
    <mergeCell ref="E59:K60"/>
    <mergeCell ref="A33:D33"/>
    <mergeCell ref="A18:D18"/>
    <mergeCell ref="F18:G18"/>
    <mergeCell ref="E25:F25"/>
    <mergeCell ref="E26:F26"/>
    <mergeCell ref="A20:D20"/>
    <mergeCell ref="F20:G20"/>
    <mergeCell ref="A22:D22"/>
    <mergeCell ref="F22:G22"/>
    <mergeCell ref="A53:D54"/>
    <mergeCell ref="A56:D57"/>
    <mergeCell ref="A59:D60"/>
    <mergeCell ref="A62:D63"/>
    <mergeCell ref="Q43:R43"/>
    <mergeCell ref="Q44:R44"/>
    <mergeCell ref="Q45:R45"/>
    <mergeCell ref="E56:K57"/>
    <mergeCell ref="L56:R57"/>
    <mergeCell ref="Q47:R47"/>
    <mergeCell ref="S65:U66"/>
    <mergeCell ref="S53:U54"/>
    <mergeCell ref="S56:U57"/>
    <mergeCell ref="S59:U60"/>
    <mergeCell ref="K35:M35"/>
    <mergeCell ref="Q42:R42"/>
    <mergeCell ref="Q46:R46"/>
    <mergeCell ref="E65:K66"/>
    <mergeCell ref="L65:R66"/>
    <mergeCell ref="L53:R54"/>
    <mergeCell ref="L59:R60"/>
    <mergeCell ref="E62:K63"/>
    <mergeCell ref="L62:R63"/>
    <mergeCell ref="J42:P42"/>
    <mergeCell ref="Q39:R39"/>
    <mergeCell ref="Q40:R40"/>
    <mergeCell ref="Q41:R41"/>
    <mergeCell ref="R35:U35"/>
    <mergeCell ref="E33:F33"/>
    <mergeCell ref="K33:M33"/>
    <mergeCell ref="K34:M34"/>
    <mergeCell ref="T22:U22"/>
    <mergeCell ref="N17:O17"/>
    <mergeCell ref="N18:O18"/>
    <mergeCell ref="N19:O19"/>
    <mergeCell ref="N20:O20"/>
    <mergeCell ref="N21:O21"/>
    <mergeCell ref="N22:O22"/>
    <mergeCell ref="K32:M32"/>
    <mergeCell ref="R33:U33"/>
    <mergeCell ref="R34:U34"/>
    <mergeCell ref="R25:U25"/>
    <mergeCell ref="R29:U29"/>
    <mergeCell ref="R30:U30"/>
    <mergeCell ref="R31:U31"/>
    <mergeCell ref="R26:U26"/>
    <mergeCell ref="R28:U28"/>
    <mergeCell ref="D15:G15"/>
    <mergeCell ref="T21:U21"/>
    <mergeCell ref="T20:U20"/>
    <mergeCell ref="Q14:U14"/>
    <mergeCell ref="Q16:U16"/>
    <mergeCell ref="S15:U15"/>
    <mergeCell ref="T18:U18"/>
    <mergeCell ref="T19:U19"/>
    <mergeCell ref="L15:O15"/>
    <mergeCell ref="T17:U17"/>
  </mergeCells>
  <phoneticPr fontId="0" type="noConversion"/>
  <conditionalFormatting sqref="AB27">
    <cfRule type="cellIs" dxfId="0" priority="1" operator="equal">
      <formula>0</formula>
    </cfRule>
  </conditionalFormatting>
  <hyperlinks>
    <hyperlink ref="G6" r:id="rId1" xr:uid="{00000000-0004-0000-0000-000000000000}"/>
  </hyperlinks>
  <pageMargins left="0.45" right="0.46" top="0.43" bottom="0.5" header="0.3" footer="0.5"/>
  <pageSetup scale="66" orientation="portrait" horizontalDpi="4294967294" verticalDpi="4294967294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AA42"/>
  <sheetViews>
    <sheetView tabSelected="1" view="pageBreakPreview" zoomScaleNormal="50" workbookViewId="0">
      <selection activeCell="AA4" sqref="AA4"/>
    </sheetView>
  </sheetViews>
  <sheetFormatPr defaultRowHeight="13.2" x14ac:dyDescent="0.25"/>
  <cols>
    <col min="1" max="1" width="18.21875" customWidth="1"/>
    <col min="2" max="2" width="14.44140625" customWidth="1"/>
    <col min="3" max="3" width="5.77734375" bestFit="1" customWidth="1"/>
    <col min="4" max="10" width="5.21875" bestFit="1" customWidth="1"/>
    <col min="11" max="11" width="7.21875" bestFit="1" customWidth="1"/>
    <col min="12" max="12" width="10.77734375" style="2" customWidth="1"/>
    <col min="13" max="13" width="6.77734375" style="2" bestFit="1" customWidth="1"/>
    <col min="14" max="14" width="8.77734375" style="2" bestFit="1" customWidth="1"/>
    <col min="15" max="15" width="6.21875" style="2" bestFit="1" customWidth="1"/>
    <col min="16" max="16" width="9.5546875" style="2" customWidth="1"/>
    <col min="17" max="17" width="6.77734375" style="2" bestFit="1" customWidth="1"/>
    <col min="18" max="18" width="9.21875" style="2" customWidth="1"/>
    <col min="19" max="19" width="9.77734375" style="2" customWidth="1"/>
    <col min="20" max="20" width="11.77734375" style="2" customWidth="1"/>
    <col min="21" max="21" width="8" style="2" customWidth="1"/>
    <col min="22" max="22" width="3.77734375" style="2" customWidth="1"/>
    <col min="25" max="25" width="11.5546875" bestFit="1" customWidth="1"/>
    <col min="26" max="27" width="9.21875" style="2" customWidth="1"/>
  </cols>
  <sheetData>
    <row r="1" spans="1:27" ht="18.600000000000001" thickTop="1" thickBot="1" x14ac:dyDescent="0.35">
      <c r="A1" s="4" t="s">
        <v>100</v>
      </c>
      <c r="B1" s="1" t="str">
        <f>'Fire Pump Test Data'!D8</f>
        <v>Home Depot 0526 Corpus Christi TX</v>
      </c>
      <c r="F1" s="5" t="s">
        <v>101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Z1" s="2" t="s">
        <v>102</v>
      </c>
      <c r="AA1" s="2" t="s">
        <v>103</v>
      </c>
    </row>
    <row r="2" spans="1:27" ht="14.4" thickTop="1" thickBot="1" x14ac:dyDescent="0.3">
      <c r="A2" s="6" t="s">
        <v>104</v>
      </c>
      <c r="B2" s="1" t="str">
        <f>'Fire Pump Test Data'!D10</f>
        <v>Corpus Christi, Texas 78411</v>
      </c>
      <c r="F2" s="354" t="s">
        <v>105</v>
      </c>
      <c r="G2" s="326"/>
      <c r="H2" s="358" t="str">
        <f>'Fire Pump Test Data'!$E$25</f>
        <v>Split Case</v>
      </c>
      <c r="I2" s="359"/>
      <c r="J2" s="359"/>
      <c r="K2" s="359"/>
      <c r="L2" s="7" t="s">
        <v>106</v>
      </c>
      <c r="M2" s="35">
        <f>'Fire Pump Test Data'!$E$29</f>
        <v>1500</v>
      </c>
      <c r="N2" s="325" t="s">
        <v>107</v>
      </c>
      <c r="O2" s="363"/>
      <c r="P2" s="119">
        <f>'Fire Pump Test Data'!$E$30</f>
        <v>110</v>
      </c>
      <c r="Q2" s="325" t="s">
        <v>108</v>
      </c>
      <c r="R2" s="363"/>
      <c r="S2" s="34">
        <f>'Fire Pump Test Data'!$E$31</f>
        <v>3550</v>
      </c>
      <c r="T2" s="325" t="s">
        <v>109</v>
      </c>
      <c r="U2" s="326"/>
      <c r="V2" s="36">
        <f>'Fire Pump Test Data'!$T$21</f>
        <v>8</v>
      </c>
      <c r="Y2" t="s">
        <v>110</v>
      </c>
      <c r="Z2" s="2">
        <v>0</v>
      </c>
      <c r="AA2" s="2">
        <f>+P2*1.2</f>
        <v>132</v>
      </c>
    </row>
    <row r="3" spans="1:27" ht="13.8" thickBot="1" x14ac:dyDescent="0.3">
      <c r="A3" s="8"/>
      <c r="F3" s="355" t="s">
        <v>111</v>
      </c>
      <c r="G3" s="328"/>
      <c r="H3" s="329" t="str">
        <f>'Fire Pump Test Data'!$E$26</f>
        <v>Peerless</v>
      </c>
      <c r="I3" s="356"/>
      <c r="J3" s="356"/>
      <c r="K3" s="357"/>
      <c r="L3" s="38" t="s">
        <v>112</v>
      </c>
      <c r="M3" s="329" t="str">
        <f>'Fire Pump Test Data'!$E$28</f>
        <v>6AEF10</v>
      </c>
      <c r="N3" s="330"/>
      <c r="O3" s="331"/>
      <c r="P3" s="38" t="s">
        <v>113</v>
      </c>
      <c r="Q3" s="360">
        <f>'Fire Pump Test Data'!$E$27</f>
        <v>50028220</v>
      </c>
      <c r="R3" s="361"/>
      <c r="S3" s="362"/>
      <c r="T3" s="327" t="s">
        <v>114</v>
      </c>
      <c r="U3" s="328"/>
      <c r="V3" s="39">
        <f>'Fire Pump Test Data'!$T$22</f>
        <v>6</v>
      </c>
      <c r="Y3" s="9" t="s">
        <v>115</v>
      </c>
      <c r="Z3" s="2">
        <f>+M2</f>
        <v>1500</v>
      </c>
      <c r="AA3" s="118">
        <f>P2*1</f>
        <v>110</v>
      </c>
    </row>
    <row r="4" spans="1:27" ht="13.8" thickBot="1" x14ac:dyDescent="0.3">
      <c r="A4" s="40"/>
      <c r="B4" s="41"/>
      <c r="C4" s="41"/>
      <c r="D4" s="342"/>
      <c r="E4" s="343"/>
      <c r="F4" s="343"/>
      <c r="G4" s="343"/>
      <c r="H4" s="344"/>
      <c r="I4" s="345"/>
      <c r="J4" s="345"/>
      <c r="K4" s="345"/>
      <c r="L4" s="345"/>
      <c r="M4" s="345"/>
      <c r="N4" s="345"/>
      <c r="O4" s="345"/>
      <c r="P4" s="42"/>
      <c r="Q4" s="43"/>
      <c r="R4" s="44"/>
      <c r="S4" s="44"/>
      <c r="T4" s="42"/>
      <c r="U4" s="45"/>
      <c r="V4" s="46"/>
      <c r="Y4" s="9" t="s">
        <v>116</v>
      </c>
      <c r="Z4" s="116">
        <f>+M2*1.5</f>
        <v>2250</v>
      </c>
      <c r="AA4" s="116">
        <f>+P2*0.65</f>
        <v>71.5</v>
      </c>
    </row>
    <row r="5" spans="1:27" s="3" customFormat="1" ht="13.8" thickBot="1" x14ac:dyDescent="0.3">
      <c r="A5" s="10" t="s">
        <v>117</v>
      </c>
      <c r="B5" s="11" t="s">
        <v>118</v>
      </c>
      <c r="C5" s="11"/>
      <c r="D5" s="12"/>
      <c r="E5" s="12"/>
      <c r="F5" s="12"/>
      <c r="G5" s="12"/>
      <c r="H5" s="12"/>
      <c r="I5" s="12"/>
      <c r="J5" s="12"/>
      <c r="K5" s="11" t="s">
        <v>119</v>
      </c>
      <c r="L5" s="13" t="s">
        <v>120</v>
      </c>
      <c r="M5" s="14" t="s">
        <v>121</v>
      </c>
      <c r="N5" s="15"/>
      <c r="O5" s="16" t="s">
        <v>122</v>
      </c>
      <c r="P5" s="17" t="s">
        <v>123</v>
      </c>
      <c r="Q5" s="17" t="s">
        <v>117</v>
      </c>
      <c r="R5" s="18" t="s">
        <v>124</v>
      </c>
      <c r="S5" s="19"/>
      <c r="T5" s="17"/>
      <c r="U5" s="336"/>
      <c r="V5" s="337"/>
      <c r="Z5" s="117"/>
      <c r="AA5" s="117"/>
    </row>
    <row r="6" spans="1:27" s="3" customFormat="1" x14ac:dyDescent="0.25">
      <c r="A6" s="10" t="s">
        <v>125</v>
      </c>
      <c r="B6" s="11" t="s">
        <v>126</v>
      </c>
      <c r="C6" s="20" t="s">
        <v>127</v>
      </c>
      <c r="D6" s="336"/>
      <c r="E6" s="352"/>
      <c r="F6" s="352"/>
      <c r="G6" s="352"/>
      <c r="H6" s="352"/>
      <c r="I6" s="352"/>
      <c r="J6" s="353"/>
      <c r="K6" s="11" t="s">
        <v>128</v>
      </c>
      <c r="L6" s="17" t="s">
        <v>129</v>
      </c>
      <c r="M6" s="21" t="s">
        <v>130</v>
      </c>
      <c r="N6" s="21" t="s">
        <v>131</v>
      </c>
      <c r="O6" s="16" t="s">
        <v>132</v>
      </c>
      <c r="P6" s="16" t="s">
        <v>121</v>
      </c>
      <c r="Q6" s="17" t="s">
        <v>133</v>
      </c>
      <c r="R6" s="22" t="s">
        <v>129</v>
      </c>
      <c r="S6" s="22" t="s">
        <v>121</v>
      </c>
      <c r="T6" s="17" t="s">
        <v>72</v>
      </c>
      <c r="U6" s="336" t="s">
        <v>73</v>
      </c>
      <c r="V6" s="337"/>
      <c r="Z6" s="117"/>
      <c r="AA6" s="117"/>
    </row>
    <row r="7" spans="1:27" s="3" customFormat="1" ht="13.8" thickBot="1" x14ac:dyDescent="0.3">
      <c r="A7" s="23" t="s">
        <v>97</v>
      </c>
      <c r="B7" s="24" t="s">
        <v>134</v>
      </c>
      <c r="C7" s="25"/>
      <c r="D7" s="336" t="s">
        <v>135</v>
      </c>
      <c r="E7" s="352"/>
      <c r="F7" s="352"/>
      <c r="G7" s="352"/>
      <c r="H7" s="352"/>
      <c r="I7" s="352"/>
      <c r="J7" s="353"/>
      <c r="K7" s="26" t="s">
        <v>136</v>
      </c>
      <c r="L7" s="27" t="s">
        <v>136</v>
      </c>
      <c r="M7" s="28" t="s">
        <v>137</v>
      </c>
      <c r="N7" s="27" t="s">
        <v>137</v>
      </c>
      <c r="O7" s="29" t="s">
        <v>138</v>
      </c>
      <c r="P7" s="27" t="s">
        <v>137</v>
      </c>
      <c r="Q7" s="27" t="s">
        <v>139</v>
      </c>
      <c r="R7" s="28" t="s">
        <v>136</v>
      </c>
      <c r="S7" s="27" t="s">
        <v>137</v>
      </c>
      <c r="T7" s="30" t="s">
        <v>140</v>
      </c>
      <c r="U7" s="338" t="s">
        <v>141</v>
      </c>
      <c r="V7" s="339"/>
      <c r="Z7" s="117"/>
      <c r="AA7" s="117"/>
    </row>
    <row r="8" spans="1:27" ht="14.4" thickTop="1" thickBot="1" x14ac:dyDescent="0.3">
      <c r="A8" s="350"/>
      <c r="B8" s="351"/>
      <c r="C8" s="97"/>
      <c r="D8" s="98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100"/>
    </row>
    <row r="9" spans="1:27" x14ac:dyDescent="0.25">
      <c r="A9" s="348"/>
      <c r="B9" s="111">
        <f>'Fire Pump Test Data'!$I$42</f>
        <v>2.5</v>
      </c>
      <c r="C9" s="209">
        <v>1.2170000000000001</v>
      </c>
      <c r="D9" s="101" t="str">
        <f>'Fire Pump Test Data'!$J$42</f>
        <v>CHURN</v>
      </c>
      <c r="E9" s="101">
        <f>'Fire Pump Test Data'!$K$42</f>
        <v>0</v>
      </c>
      <c r="F9" s="101">
        <f>'Fire Pump Test Data'!$L$42</f>
        <v>0</v>
      </c>
      <c r="G9" s="101">
        <f>'Fire Pump Test Data'!$M$42</f>
        <v>0</v>
      </c>
      <c r="H9" s="101">
        <f>'Fire Pump Test Data'!$N$42</f>
        <v>0</v>
      </c>
      <c r="I9" s="101">
        <f>'Fire Pump Test Data'!$O$42</f>
        <v>0</v>
      </c>
      <c r="J9" s="101">
        <f>'Fire Pump Test Data'!$P$42</f>
        <v>0</v>
      </c>
      <c r="K9" s="101">
        <v>0</v>
      </c>
      <c r="L9" s="102">
        <v>0</v>
      </c>
      <c r="M9" s="103">
        <f>'Fire Pump Test Data'!$C$42</f>
        <v>52</v>
      </c>
      <c r="N9" s="103">
        <f>'Fire Pump Test Data'!$E$42</f>
        <v>192</v>
      </c>
      <c r="O9" s="104">
        <f>0.001123*(L9^2)*((1/$V$3^4)-(1/$V$2^4))</f>
        <v>0</v>
      </c>
      <c r="P9" s="105">
        <f>+N9-M9+O9</f>
        <v>140</v>
      </c>
      <c r="Q9" s="103">
        <f>'Fire Pump Test Data'!$A$42</f>
        <v>3574</v>
      </c>
      <c r="R9" s="102">
        <f t="shared" ref="R9:R14" si="0">IF(Q9=0,"",+L9*($S$2/Q9))</f>
        <v>0</v>
      </c>
      <c r="S9" s="105">
        <f t="shared" ref="S9:S14" si="1">IF(Q9=0,"",+P9*($S$2/Q9)^2)</f>
        <v>138.12606685916973</v>
      </c>
      <c r="T9" s="103">
        <f>'Fire Pump Test Data'!$T$42</f>
        <v>0</v>
      </c>
      <c r="U9" s="340">
        <f>'Fire Pump Test Data'!$U$42</f>
        <v>0</v>
      </c>
      <c r="V9" s="341"/>
    </row>
    <row r="10" spans="1:27" x14ac:dyDescent="0.25">
      <c r="A10" s="349"/>
      <c r="B10" s="112">
        <f>'Fire Pump Test Data'!$I$43</f>
        <v>2.5</v>
      </c>
      <c r="C10" s="210">
        <v>1.2170000000000001</v>
      </c>
      <c r="D10" s="37">
        <f>'Fire Pump Test Data'!$J$43</f>
        <v>5</v>
      </c>
      <c r="E10" s="37">
        <f>'Fire Pump Test Data'!$K$43</f>
        <v>5</v>
      </c>
      <c r="F10" s="37">
        <f>'Fire Pump Test Data'!$L$43</f>
        <v>5</v>
      </c>
      <c r="G10" s="37">
        <f>'Fire Pump Test Data'!$M$43</f>
        <v>0</v>
      </c>
      <c r="H10" s="37">
        <f>'Fire Pump Test Data'!$N$43</f>
        <v>0</v>
      </c>
      <c r="I10" s="37">
        <f>'Fire Pump Test Data'!$O$43</f>
        <v>0</v>
      </c>
      <c r="J10" s="37">
        <f>'Fire Pump Test Data'!$P$43</f>
        <v>0</v>
      </c>
      <c r="K10" s="37">
        <v>0</v>
      </c>
      <c r="L10" s="93">
        <f>29.83*C10*B10^2*D10^0.5+29.83*C10*B10^2*E10^0.5+29.83*C10*B10^2*F10^0.5+29.83*C10*B10^2*G10^0.5+29.83*C10*B10^2*H10^0.5+29.35*C10*B10^2*I10^0.5+29.83*C10*B10^2*J10^0.5+K10</f>
        <v>1522.0541578997327</v>
      </c>
      <c r="M10" s="94">
        <f>'Fire Pump Test Data'!$C$43</f>
        <v>34</v>
      </c>
      <c r="N10" s="94">
        <f>'Fire Pump Test Data'!$E$43</f>
        <v>144</v>
      </c>
      <c r="O10" s="95">
        <f>0.001123*(L10^2)*((1/$V$3^4)-(1/$V$2^4))</f>
        <v>1.3722494005863379</v>
      </c>
      <c r="P10" s="96">
        <f>+N10-M10+O10</f>
        <v>111.37224940058634</v>
      </c>
      <c r="Q10" s="94">
        <f>'Fire Pump Test Data'!$A$43</f>
        <v>3560</v>
      </c>
      <c r="R10" s="93">
        <f t="shared" si="0"/>
        <v>1517.7787248719244</v>
      </c>
      <c r="S10" s="96">
        <f t="shared" si="1"/>
        <v>110.74744137978865</v>
      </c>
      <c r="T10" s="94">
        <f>'Fire Pump Test Data'!$T$43</f>
        <v>0</v>
      </c>
      <c r="U10" s="334">
        <f>'Fire Pump Test Data'!$U$43</f>
        <v>0</v>
      </c>
      <c r="V10" s="335"/>
    </row>
    <row r="11" spans="1:27" x14ac:dyDescent="0.25">
      <c r="A11" s="349"/>
      <c r="B11" s="112">
        <f>'Fire Pump Test Data'!$I$44</f>
        <v>2.5</v>
      </c>
      <c r="C11" s="210">
        <v>1.2170000000000001</v>
      </c>
      <c r="D11" s="37">
        <f>'Fire Pump Test Data'!$J$44</f>
        <v>11</v>
      </c>
      <c r="E11" s="37">
        <f>'Fire Pump Test Data'!$K$44</f>
        <v>11</v>
      </c>
      <c r="F11" s="37">
        <f>'Fire Pump Test Data'!$L$44</f>
        <v>11</v>
      </c>
      <c r="G11" s="37">
        <f>'Fire Pump Test Data'!$M$44</f>
        <v>0</v>
      </c>
      <c r="H11" s="37">
        <f>'Fire Pump Test Data'!$N$44</f>
        <v>0</v>
      </c>
      <c r="I11" s="37">
        <f>'Fire Pump Test Data'!$O$44</f>
        <v>0</v>
      </c>
      <c r="J11" s="37">
        <f>'Fire Pump Test Data'!$P$44</f>
        <v>0</v>
      </c>
      <c r="K11" s="37">
        <v>0</v>
      </c>
      <c r="L11" s="93">
        <f>29.83*C11*B11^2*D11^0.5+29.83*C11*B11^2*E11^0.5+29.83*C11*B11^2*F11^0.5+29.83*C11*B11^2*G11^0.5+29.83*C11*B11^2*H11^0.5+29.83*C11*B11^2*I11^0.5+29.83*C11*B11^2*J11^0.5+K11</f>
        <v>2257.571148618732</v>
      </c>
      <c r="M11" s="94">
        <f>'Fire Pump Test Data'!$C$44</f>
        <v>15</v>
      </c>
      <c r="N11" s="94">
        <f>'Fire Pump Test Data'!$E$44</f>
        <v>96</v>
      </c>
      <c r="O11" s="95">
        <f>0.001123*(L11^2)*((1/$V$3^4)-(1/$V$2^4))</f>
        <v>3.0189486812899431</v>
      </c>
      <c r="P11" s="96">
        <f>+N11-M11+O11</f>
        <v>84.018948681289942</v>
      </c>
      <c r="Q11" s="94">
        <f>'Fire Pump Test Data'!$A$44</f>
        <v>3555</v>
      </c>
      <c r="R11" s="93">
        <f t="shared" si="0"/>
        <v>2254.3959430651194</v>
      </c>
      <c r="S11" s="96">
        <f t="shared" si="1"/>
        <v>83.782774662651519</v>
      </c>
      <c r="T11" s="94">
        <f>'Fire Pump Test Data'!$T$44</f>
        <v>0</v>
      </c>
      <c r="U11" s="334">
        <f>'Fire Pump Test Data'!$U$44</f>
        <v>0</v>
      </c>
      <c r="V11" s="335"/>
    </row>
    <row r="12" spans="1:27" x14ac:dyDescent="0.25">
      <c r="A12" s="349"/>
      <c r="B12" s="112">
        <f>'Fire Pump Test Data'!$I$45</f>
        <v>2.5</v>
      </c>
      <c r="C12" s="210">
        <v>1.2170000000000001</v>
      </c>
      <c r="D12" s="37"/>
      <c r="E12" s="37"/>
      <c r="F12" s="37"/>
      <c r="G12" s="37"/>
      <c r="H12" s="37"/>
      <c r="I12" s="37"/>
      <c r="J12" s="37"/>
      <c r="K12" s="37"/>
      <c r="L12" s="93"/>
      <c r="M12" s="94"/>
      <c r="N12" s="94"/>
      <c r="O12" s="95"/>
      <c r="P12" s="96">
        <f>+N12-M12+O12</f>
        <v>0</v>
      </c>
      <c r="Q12" s="94">
        <f>'Fire Pump Test Data'!$A$45</f>
        <v>0</v>
      </c>
      <c r="R12" s="93" t="str">
        <f t="shared" si="0"/>
        <v/>
      </c>
      <c r="S12" s="96" t="str">
        <f t="shared" si="1"/>
        <v/>
      </c>
      <c r="T12" s="94">
        <f>'Fire Pump Test Data'!$T$45</f>
        <v>0</v>
      </c>
      <c r="U12" s="334">
        <f>'Fire Pump Test Data'!$U$45</f>
        <v>0</v>
      </c>
      <c r="V12" s="335"/>
    </row>
    <row r="13" spans="1:27" x14ac:dyDescent="0.25">
      <c r="A13" s="114"/>
      <c r="B13" s="112">
        <f>'Fire Pump Test Data'!$I$46</f>
        <v>2.5</v>
      </c>
      <c r="C13" s="210">
        <v>1.2170000000000001</v>
      </c>
      <c r="D13" s="37"/>
      <c r="E13" s="37"/>
      <c r="F13" s="37"/>
      <c r="G13" s="37"/>
      <c r="H13" s="37"/>
      <c r="I13" s="37"/>
      <c r="J13" s="37"/>
      <c r="K13" s="37"/>
      <c r="L13" s="93"/>
      <c r="M13" s="94"/>
      <c r="N13" s="94"/>
      <c r="O13" s="95" t="str">
        <f>IF(L13="","",(0.001123*(L13^2)*((1/$V$3^4)-(1/$V$2^4))))</f>
        <v/>
      </c>
      <c r="P13" s="96" t="e">
        <f>IF(B13=0,P12,(+N13-M13+O13))</f>
        <v>#VALUE!</v>
      </c>
      <c r="Q13" s="94">
        <f>'Fire Pump Test Data'!$A$46</f>
        <v>0</v>
      </c>
      <c r="R13" s="93" t="str">
        <f t="shared" si="0"/>
        <v/>
      </c>
      <c r="S13" s="96" t="str">
        <f t="shared" si="1"/>
        <v/>
      </c>
      <c r="T13" s="94">
        <f>'Fire Pump Test Data'!$T$45</f>
        <v>0</v>
      </c>
      <c r="U13" s="334">
        <f>'Fire Pump Test Data'!$U$45</f>
        <v>0</v>
      </c>
      <c r="V13" s="335"/>
    </row>
    <row r="14" spans="1:27" ht="13.8" thickBot="1" x14ac:dyDescent="0.3">
      <c r="A14" s="115"/>
      <c r="B14" s="113">
        <f>'Fire Pump Test Data'!$I$47</f>
        <v>0</v>
      </c>
      <c r="C14" s="211">
        <v>1.2170000000000001</v>
      </c>
      <c r="D14" s="106"/>
      <c r="E14" s="106"/>
      <c r="F14" s="106"/>
      <c r="G14" s="106"/>
      <c r="H14" s="106"/>
      <c r="I14" s="106"/>
      <c r="J14" s="106"/>
      <c r="K14" s="106"/>
      <c r="L14" s="107"/>
      <c r="M14" s="108"/>
      <c r="N14" s="108"/>
      <c r="O14" s="109"/>
      <c r="P14" s="110" t="e">
        <f>IF(B14=0,P13,(+N14-M14+O14))</f>
        <v>#VALUE!</v>
      </c>
      <c r="Q14" s="108">
        <f>'Fire Pump Test Data'!$A$47</f>
        <v>0</v>
      </c>
      <c r="R14" s="107" t="str">
        <f t="shared" si="0"/>
        <v/>
      </c>
      <c r="S14" s="110" t="str">
        <f t="shared" si="1"/>
        <v/>
      </c>
      <c r="T14" s="108">
        <f>'Fire Pump Test Data'!$T$45</f>
        <v>0</v>
      </c>
      <c r="U14" s="332">
        <f>'Fire Pump Test Data'!$U$45</f>
        <v>0</v>
      </c>
      <c r="V14" s="333"/>
    </row>
    <row r="15" spans="1:27" ht="13.8" thickBot="1" x14ac:dyDescent="0.3">
      <c r="A15" s="346"/>
      <c r="B15" s="347"/>
      <c r="C15" s="89"/>
      <c r="D15" s="90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2"/>
    </row>
    <row r="16" spans="1:27" ht="13.8" thickTop="1" x14ac:dyDescent="0.25">
      <c r="A16" s="31" t="s">
        <v>142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</sheetData>
  <mergeCells count="26">
    <mergeCell ref="F2:G2"/>
    <mergeCell ref="F3:G3"/>
    <mergeCell ref="H3:K3"/>
    <mergeCell ref="H2:K2"/>
    <mergeCell ref="Q3:S3"/>
    <mergeCell ref="Q2:R2"/>
    <mergeCell ref="N2:O2"/>
    <mergeCell ref="D4:G4"/>
    <mergeCell ref="H4:O4"/>
    <mergeCell ref="A15:B15"/>
    <mergeCell ref="A9:A12"/>
    <mergeCell ref="A8:B8"/>
    <mergeCell ref="D6:J6"/>
    <mergeCell ref="D7:J7"/>
    <mergeCell ref="T2:U2"/>
    <mergeCell ref="T3:U3"/>
    <mergeCell ref="M3:O3"/>
    <mergeCell ref="U14:V14"/>
    <mergeCell ref="U13:V13"/>
    <mergeCell ref="U5:V5"/>
    <mergeCell ref="U6:V6"/>
    <mergeCell ref="U7:V7"/>
    <mergeCell ref="U10:V10"/>
    <mergeCell ref="U9:V9"/>
    <mergeCell ref="U12:V12"/>
    <mergeCell ref="U11:V11"/>
  </mergeCells>
  <phoneticPr fontId="0" type="noConversion"/>
  <printOptions horizontalCentered="1"/>
  <pageMargins left="0.5" right="0.75" top="0.53" bottom="0.68" header="0.5" footer="0.5"/>
  <pageSetup scale="73" orientation="landscape" r:id="rId1"/>
  <headerFooter alignWithMargins="0">
    <oddFooter>&amp;L&amp;A
Page 2 0f 4
&amp;CPeerless Pump Company
Houston Texas&amp;R&amp;D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9"/>
  <sheetViews>
    <sheetView showGridLines="0" workbookViewId="0">
      <selection activeCell="Q9" sqref="Q9"/>
    </sheetView>
  </sheetViews>
  <sheetFormatPr defaultRowHeight="13.2" x14ac:dyDescent="0.25"/>
  <cols>
    <col min="2" max="3" width="10.5546875" customWidth="1"/>
    <col min="4" max="4" width="9.21875" style="75" customWidth="1"/>
    <col min="5" max="9" width="9.21875" style="2" customWidth="1"/>
  </cols>
  <sheetData>
    <row r="1" spans="1:17" s="2" customFormat="1" x14ac:dyDescent="0.25">
      <c r="A1" s="47" t="s">
        <v>133</v>
      </c>
      <c r="B1" s="47" t="s">
        <v>130</v>
      </c>
      <c r="C1" s="47" t="s">
        <v>131</v>
      </c>
      <c r="D1" s="48" t="s">
        <v>143</v>
      </c>
      <c r="E1" s="364" t="s">
        <v>144</v>
      </c>
      <c r="F1" s="365"/>
      <c r="G1" s="365"/>
      <c r="H1" s="366"/>
      <c r="I1" s="47" t="s">
        <v>129</v>
      </c>
      <c r="J1" s="364" t="s">
        <v>72</v>
      </c>
      <c r="K1" s="365"/>
      <c r="L1" s="366"/>
      <c r="M1" s="364" t="s">
        <v>73</v>
      </c>
      <c r="N1" s="365"/>
      <c r="O1" s="366"/>
    </row>
    <row r="2" spans="1:17" ht="34.5" customHeight="1" x14ac:dyDescent="0.25">
      <c r="A2" s="50"/>
      <c r="B2" s="50"/>
      <c r="C2" s="50"/>
      <c r="D2" s="51" t="s">
        <v>181</v>
      </c>
      <c r="E2" s="367" t="s">
        <v>92</v>
      </c>
      <c r="F2" s="368"/>
      <c r="G2" s="368"/>
      <c r="H2" s="369"/>
      <c r="I2" s="54">
        <v>0</v>
      </c>
      <c r="J2" s="55"/>
      <c r="K2" s="56"/>
      <c r="L2" s="57"/>
      <c r="M2" s="55"/>
      <c r="N2" s="56"/>
      <c r="O2" s="57"/>
    </row>
    <row r="3" spans="1:17" ht="34.5" customHeight="1" x14ac:dyDescent="0.25">
      <c r="A3" s="81"/>
      <c r="B3" s="81"/>
      <c r="C3" s="81"/>
      <c r="D3" s="49" t="s">
        <v>181</v>
      </c>
      <c r="E3" s="82"/>
      <c r="F3" s="83"/>
      <c r="G3" s="83"/>
      <c r="H3" s="88"/>
      <c r="I3" s="84"/>
      <c r="J3" s="87"/>
      <c r="K3" s="85"/>
      <c r="L3" s="86"/>
      <c r="M3" s="87"/>
      <c r="N3" s="85"/>
      <c r="O3" s="86"/>
    </row>
    <row r="4" spans="1:17" ht="34.5" customHeight="1" x14ac:dyDescent="0.25">
      <c r="A4" s="50"/>
      <c r="B4" s="50"/>
      <c r="C4" s="50"/>
      <c r="D4" s="51" t="s">
        <v>181</v>
      </c>
      <c r="E4" s="77"/>
      <c r="F4" s="52"/>
      <c r="G4" s="52"/>
      <c r="H4" s="53"/>
      <c r="I4" s="80"/>
      <c r="J4" s="55"/>
      <c r="K4" s="56"/>
      <c r="L4" s="57"/>
      <c r="M4" s="55"/>
      <c r="N4" s="56"/>
      <c r="O4" s="57"/>
    </row>
    <row r="5" spans="1:17" ht="34.5" customHeight="1" x14ac:dyDescent="0.25">
      <c r="A5" s="58"/>
      <c r="B5" s="58"/>
      <c r="C5" s="58"/>
      <c r="D5" s="59"/>
      <c r="E5" s="77"/>
      <c r="F5" s="52"/>
      <c r="G5" s="52"/>
      <c r="H5" s="53"/>
      <c r="I5" s="80"/>
      <c r="J5" s="63"/>
      <c r="K5" s="64"/>
      <c r="L5" s="65"/>
      <c r="M5" s="63"/>
      <c r="N5" s="64"/>
      <c r="O5" s="65"/>
    </row>
    <row r="6" spans="1:17" ht="34.5" customHeight="1" x14ac:dyDescent="0.25">
      <c r="A6" s="58"/>
      <c r="B6" s="58"/>
      <c r="C6" s="58"/>
      <c r="D6" s="59"/>
      <c r="E6" s="78"/>
      <c r="F6" s="60"/>
      <c r="G6" s="60"/>
      <c r="H6" s="61"/>
      <c r="I6" s="62"/>
      <c r="J6" s="63"/>
      <c r="K6" s="64"/>
      <c r="L6" s="65"/>
      <c r="M6" s="63"/>
      <c r="N6" s="64"/>
      <c r="O6" s="65"/>
    </row>
    <row r="7" spans="1:17" ht="34.5" customHeight="1" x14ac:dyDescent="0.25">
      <c r="A7" s="58"/>
      <c r="B7" s="58"/>
      <c r="C7" s="58"/>
      <c r="D7" s="59"/>
      <c r="E7" s="78"/>
      <c r="F7" s="60"/>
      <c r="G7" s="60"/>
      <c r="H7" s="61"/>
      <c r="I7" s="62"/>
      <c r="J7" s="63"/>
      <c r="K7" s="64"/>
      <c r="L7" s="65"/>
      <c r="M7" s="63"/>
      <c r="N7" s="64"/>
      <c r="O7" s="65"/>
    </row>
    <row r="8" spans="1:17" ht="34.5" customHeight="1" thickBot="1" x14ac:dyDescent="0.3">
      <c r="A8" s="66"/>
      <c r="B8" s="66"/>
      <c r="C8" s="66"/>
      <c r="D8" s="67"/>
      <c r="E8" s="79"/>
      <c r="F8" s="68"/>
      <c r="G8" s="68"/>
      <c r="H8" s="69"/>
      <c r="I8" s="70"/>
      <c r="J8" s="71"/>
      <c r="K8" s="72"/>
      <c r="L8" s="73"/>
      <c r="M8" s="71"/>
      <c r="N8" s="72"/>
      <c r="O8" s="73"/>
    </row>
    <row r="9" spans="1:17" ht="13.8" thickBot="1" x14ac:dyDescent="0.3">
      <c r="E9" s="79" t="s">
        <v>161</v>
      </c>
      <c r="F9" s="79" t="s">
        <v>162</v>
      </c>
      <c r="L9" s="73" t="s">
        <v>157</v>
      </c>
      <c r="M9" s="71" t="s">
        <v>80</v>
      </c>
      <c r="N9" s="72" t="s">
        <v>158</v>
      </c>
      <c r="O9" s="73" t="s">
        <v>159</v>
      </c>
    </row>
    <row r="10" spans="1:17" ht="21" customHeight="1" thickBot="1" x14ac:dyDescent="0.3">
      <c r="A10" s="285" t="s">
        <v>145</v>
      </c>
      <c r="B10" s="285"/>
      <c r="C10" s="74" t="s">
        <v>22</v>
      </c>
      <c r="E10" s="79" t="s">
        <v>163</v>
      </c>
      <c r="F10" s="79"/>
      <c r="L10" s="73" t="s">
        <v>160</v>
      </c>
      <c r="M10" s="71">
        <v>0</v>
      </c>
      <c r="N10" s="72">
        <v>0</v>
      </c>
      <c r="O10" s="73">
        <v>138</v>
      </c>
    </row>
    <row r="11" spans="1:17" ht="21" customHeight="1" thickBot="1" x14ac:dyDescent="0.3">
      <c r="A11" s="285" t="s">
        <v>146</v>
      </c>
      <c r="B11" s="285"/>
      <c r="C11" s="76"/>
      <c r="E11" s="79" t="s">
        <v>164</v>
      </c>
      <c r="F11" s="79"/>
      <c r="H11" s="70" t="s">
        <v>174</v>
      </c>
      <c r="L11" s="73">
        <v>100</v>
      </c>
      <c r="M11" s="71">
        <v>1509</v>
      </c>
      <c r="N11" s="212" t="s">
        <v>199</v>
      </c>
      <c r="O11" s="73">
        <v>110</v>
      </c>
    </row>
    <row r="12" spans="1:17" ht="21" customHeight="1" thickBot="1" x14ac:dyDescent="0.3">
      <c r="E12" s="79" t="s">
        <v>165</v>
      </c>
      <c r="F12" s="79"/>
      <c r="H12" s="70" t="s">
        <v>172</v>
      </c>
      <c r="I12" s="70" t="s">
        <v>173</v>
      </c>
      <c r="L12" s="73">
        <v>150</v>
      </c>
      <c r="M12" s="71">
        <v>2259</v>
      </c>
      <c r="N12" s="212" t="s">
        <v>200</v>
      </c>
      <c r="O12" s="73">
        <v>80</v>
      </c>
      <c r="P12" t="s">
        <v>202</v>
      </c>
      <c r="Q12" s="213" t="s">
        <v>201</v>
      </c>
    </row>
    <row r="13" spans="1:17" ht="21" customHeight="1" thickBot="1" x14ac:dyDescent="0.3">
      <c r="A13" s="285" t="s">
        <v>147</v>
      </c>
      <c r="B13" s="285"/>
      <c r="C13" s="76"/>
      <c r="E13" s="79" t="s">
        <v>175</v>
      </c>
      <c r="F13" s="79"/>
    </row>
    <row r="14" spans="1:17" ht="13.8" thickBot="1" x14ac:dyDescent="0.3">
      <c r="E14" s="79" t="s">
        <v>166</v>
      </c>
      <c r="F14" s="79"/>
    </row>
    <row r="15" spans="1:17" ht="13.8" thickBot="1" x14ac:dyDescent="0.3">
      <c r="E15" s="79"/>
      <c r="F15" s="79"/>
    </row>
    <row r="16" spans="1:17" ht="13.8" thickBot="1" x14ac:dyDescent="0.3">
      <c r="E16" s="79" t="s">
        <v>169</v>
      </c>
      <c r="F16" s="79" t="s">
        <v>165</v>
      </c>
    </row>
    <row r="17" spans="1:6" ht="13.8" thickBot="1" x14ac:dyDescent="0.3">
      <c r="A17" t="s">
        <v>148</v>
      </c>
      <c r="D17" s="79"/>
      <c r="E17" s="2" t="s">
        <v>167</v>
      </c>
      <c r="F17" s="79" t="s">
        <v>168</v>
      </c>
    </row>
    <row r="18" spans="1:6" ht="13.8" thickBot="1" x14ac:dyDescent="0.3">
      <c r="D18" s="79" t="s">
        <v>170</v>
      </c>
      <c r="E18" s="79"/>
      <c r="F18" s="79"/>
    </row>
    <row r="19" spans="1:6" ht="13.8" thickBot="1" x14ac:dyDescent="0.3">
      <c r="D19" s="79" t="s">
        <v>171</v>
      </c>
      <c r="E19" s="79"/>
      <c r="F19" s="79"/>
    </row>
  </sheetData>
  <mergeCells count="7">
    <mergeCell ref="A13:B13"/>
    <mergeCell ref="J1:L1"/>
    <mergeCell ref="M1:O1"/>
    <mergeCell ref="E1:H1"/>
    <mergeCell ref="E2:H2"/>
    <mergeCell ref="A10:B10"/>
    <mergeCell ref="A11:B11"/>
  </mergeCells>
  <phoneticPr fontId="25" type="noConversion"/>
  <hyperlinks>
    <hyperlink ref="N11" r:id="rId1" xr:uid="{43E98A66-15DF-4E5E-B214-9196904D4B63}"/>
    <hyperlink ref="N12" r:id="rId2" xr:uid="{42D5E6EB-009A-40F0-8BE7-A2F0D0A39A26}"/>
    <hyperlink ref="Q12" r:id="rId3" xr:uid="{C613D961-9748-43EF-8599-6A5A0FDFF2B3}"/>
  </hyperlinks>
  <pageMargins left="0.42" right="0.2" top="1" bottom="1" header="0.5" footer="0.5"/>
  <pageSetup scale="96" orientation="landscape" r:id="rId4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3.2" x14ac:dyDescent="0.25"/>
  <cols>
    <col min="1" max="1" width="14.77734375" bestFit="1" customWidth="1"/>
    <col min="2" max="2" width="38.77734375" customWidth="1"/>
  </cols>
  <sheetData>
    <row r="1" spans="1:2" x14ac:dyDescent="0.25">
      <c r="A1" s="200" t="s">
        <v>149</v>
      </c>
      <c r="B1" s="200" t="s">
        <v>150</v>
      </c>
    </row>
    <row r="2" spans="1:2" x14ac:dyDescent="0.25">
      <c r="A2" s="201">
        <v>1</v>
      </c>
      <c r="B2" s="200" t="s">
        <v>151</v>
      </c>
    </row>
    <row r="3" spans="1:2" x14ac:dyDescent="0.25">
      <c r="B3" s="200" t="s">
        <v>152</v>
      </c>
    </row>
    <row r="4" spans="1:2" x14ac:dyDescent="0.25">
      <c r="A4" s="202" t="s">
        <v>153</v>
      </c>
      <c r="B4" s="200" t="s">
        <v>154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5FFE72070BED49A9E10EE24A974CCE" ma:contentTypeVersion="18" ma:contentTypeDescription="Create a new document." ma:contentTypeScope="" ma:versionID="e3ce709ddfa3f4207063aea2960900f5">
  <xsd:schema xmlns:xsd="http://www.w3.org/2001/XMLSchema" xmlns:xs="http://www.w3.org/2001/XMLSchema" xmlns:p="http://schemas.microsoft.com/office/2006/metadata/properties" xmlns:ns2="add409d8-c458-45bf-bf5f-710f0ed12ba3" xmlns:ns3="BB057BA9-7514-431B-A377-E5B79A1F7FBE" xmlns:ns4="bb057ba9-7514-431b-a377-e5b79a1f7fbe" xmlns:ns5="f054ec35-24dd-44c0-b432-ab6889ed4dc1" targetNamespace="http://schemas.microsoft.com/office/2006/metadata/properties" ma:root="true" ma:fieldsID="c2f67747db0b99f8fa8c7054fcf8de91" ns2:_="" ns3:_="" ns4:_="" ns5:_="">
    <xsd:import namespace="add409d8-c458-45bf-bf5f-710f0ed12ba3"/>
    <xsd:import namespace="BB057BA9-7514-431B-A377-E5B79A1F7FBE"/>
    <xsd:import namespace="bb057ba9-7514-431b-a377-e5b79a1f7fbe"/>
    <xsd:import namespace="f054ec35-24dd-44c0-b432-ab6889ed4dc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LCPolicyLabelValue" minOccurs="0"/>
                <xsd:element ref="ns3:DLCPolicyLabelClientValue" minOccurs="0"/>
                <xsd:element ref="ns3:DLCPolicyLabelLock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2:SharedWithUsers" minOccurs="0"/>
                <xsd:element ref="ns2:SharedWithDetails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409d8-c458-45bf-bf5f-710f0ed12ba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57BA9-7514-431B-A377-E5B79A1F7FBE" elementFormDefault="qualified">
    <xsd:import namespace="http://schemas.microsoft.com/office/2006/documentManagement/types"/>
    <xsd:import namespace="http://schemas.microsoft.com/office/infopath/2007/PartnerControls"/>
    <xsd:element name="DLCPolicyLabelValue" ma:index="11" nillable="true" ma:displayName="Label" ma:description="Stores the current value of the label." ma:internalName="DLCPolicyLabelValue" ma:readOnly="true">
      <xsd:simpleType>
        <xsd:restriction base="dms:Note">
          <xsd:maxLength value="255"/>
        </xsd:restriction>
      </xsd:simpleType>
    </xsd:element>
    <xsd:element name="DLCPolicyLabelClientValue" ma:index="12" nillable="true" ma:displayName="Client Label Value" ma:description="Stores the last label value computed on the client." ma:hidden="true" ma:internalName="DLCPolicyLabelClientValue" ma:readOnly="false">
      <xsd:simpleType>
        <xsd:restriction base="dms:Note"/>
      </xsd:simpleType>
    </xsd:element>
    <xsd:element name="DLCPolicyLabelLock" ma:index="13" nillable="true" ma:displayName="Label Locked" ma:description="Indicates whether the label should be updated when item properties are modified." ma:hidden="true" ma:internalName="DLCPolicyLabelLock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57ba9-7514-431b-a377-e5b79a1f7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1e24f276-14dc-4e54-a0cf-bc34c614c5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4ec35-24dd-44c0-b432-ab6889ed4dc1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29ceaf38-4407-4480-b493-542bd3c7de70}" ma:internalName="TaxCatchAll" ma:showField="CatchAllData" ma:web="086c44bb-386a-4453-b77e-55583573bf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LCPolicyLabelLock xmlns="BB057BA9-7514-431B-A377-E5B79A1F7FBE" xsi:nil="true"/>
    <DLCPolicyLabelClientValue xmlns="BB057BA9-7514-431B-A377-E5B79A1F7FBE" xsi:nil="true"/>
    <_dlc_DocId xmlns="add409d8-c458-45bf-bf5f-710f0ed12ba3">CY54R7KD54KC-851871331-834528</_dlc_DocId>
    <_dlc_DocIdUrl xmlns="add409d8-c458-45bf-bf5f-710f0ed12ba3">
      <Url>https://grundfos.sharepoint.com/sites/Team-016708/_layouts/15/DocIdRedir.aspx?ID=CY54R7KD54KC-851871331-834528</Url>
      <Description>CY54R7KD54KC-851871331-834528</Description>
    </_dlc_DocIdUrl>
    <TaxCatchAll xmlns="f054ec35-24dd-44c0-b432-ab6889ed4dc1" xsi:nil="true"/>
    <lcf76f155ced4ddcb4097134ff3c332f xmlns="bb057ba9-7514-431b-a377-e5b79a1f7f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37EC1A-7388-46BA-B44E-A68C53C7F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409d8-c458-45bf-bf5f-710f0ed12ba3"/>
    <ds:schemaRef ds:uri="BB057BA9-7514-431B-A377-E5B79A1F7FBE"/>
    <ds:schemaRef ds:uri="bb057ba9-7514-431b-a377-e5b79a1f7fbe"/>
    <ds:schemaRef ds:uri="f054ec35-24dd-44c0-b432-ab6889ed4d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60E1C-9F91-4D94-B754-A7FE5D1555E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7EA39EC-582E-4769-B884-B31D5F9889C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E35850-D31E-4477-9F3A-ED851E5333EA}">
  <ds:schemaRefs>
    <ds:schemaRef ds:uri="http://schemas.microsoft.com/office/2006/metadata/properties"/>
    <ds:schemaRef ds:uri="http://schemas.microsoft.com/office/infopath/2007/PartnerControls"/>
    <ds:schemaRef ds:uri="BB057BA9-7514-431B-A377-E5B79A1F7FBE"/>
    <ds:schemaRef ds:uri="add409d8-c458-45bf-bf5f-710f0ed12ba3"/>
    <ds:schemaRef ds:uri="f054ec35-24dd-44c0-b432-ab6889ed4dc1"/>
    <ds:schemaRef ds:uri="bb057ba9-7514-431b-a377-e5b79a1f7f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Fire Pump Test Data</vt:lpstr>
      <vt:lpstr>Acceptance Test Curve</vt:lpstr>
      <vt:lpstr>Field Data Sheet</vt:lpstr>
      <vt:lpstr>Revison Log</vt:lpstr>
      <vt:lpstr>'Acceptance Test Curve'!Print_Area</vt:lpstr>
      <vt:lpstr>'Fire Pump Test Data'!Print_Area</vt:lpstr>
      <vt:lpstr>WEL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Walmart Acceptance Test Data Form</dc:title>
  <dc:subject/>
  <dc:creator>Shannon Fairchild</dc:creator>
  <cp:keywords/>
  <dc:description/>
  <cp:lastModifiedBy>Ethan Matei</cp:lastModifiedBy>
  <cp:revision/>
  <cp:lastPrinted>2026-02-26T01:20:10Z</cp:lastPrinted>
  <dcterms:created xsi:type="dcterms:W3CDTF">2002-10-24T01:01:00Z</dcterms:created>
  <dcterms:modified xsi:type="dcterms:W3CDTF">2026-08-13T15:19:54Z</dcterms:modified>
  <cp:category>Startup forms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0x010100F65FFE72070BED49A9E10EE24A974CCE</vt:lpwstr>
  </property>
  <property fmtid="{D5CDD505-2E9C-101B-9397-08002B2CF9AE}" pid="3" name="_dlc_DocIdItemGuid">
    <vt:lpwstr>aaf98e9d-1a2b-4c56-b654-f335b56bc952</vt:lpwstr>
  </property>
  <property fmtid="{D5CDD505-2E9C-101B-9397-08002B2CF9AE}" pid="4" name="MediaServiceImageTags">
    <vt:lpwstr/>
  </property>
</Properties>
</file>